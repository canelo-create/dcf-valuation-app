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tex Com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&quot;x&quot;"/>
  </numFmts>
  <fonts count="7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b val="1"/>
      <color rgb="00FFFFFF"/>
      <sz val="12"/>
    </font>
    <font>
      <name val="Times New Roman"/>
      <b val="1"/>
      <color rgb="00000000"/>
      <sz val="11"/>
    </font>
    <font>
      <name val="Times New Roman"/>
      <color rgb="000070C0"/>
      <sz val="11"/>
    </font>
    <font>
      <name val="Times New Roman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0" fillId="4" borderId="0" pivotButton="0" quotePrefix="0" xfId="0"/>
    <xf numFmtId="164" fontId="6" fillId="4" borderId="0" applyAlignment="1" pivotButton="0" quotePrefix="0" xfId="0">
      <alignment horizontal="center" vertical="center"/>
    </xf>
    <xf numFmtId="165" fontId="6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/>
    </xf>
    <xf numFmtId="165" fontId="6" fillId="4" borderId="0" applyAlignment="1" pivotButton="0" quotePrefix="0" xfId="0">
      <alignment horizontal="center" vertical="center"/>
    </xf>
    <xf numFmtId="2" fontId="6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Build script</author>
  </authors>
  <commentList>
    <comment ref="A7" authorId="0" shapeId="0">
      <text>
        <t>stockanalysis.com, accessed 2026-05-13. URL: https://stockanalysis.com/quote/bme/ITX/statistics/</t>
      </text>
    </comment>
    <comment ref="B7" authorId="0" shapeId="0">
      <text>
        <t>stockanalysis.com, accessed 2026-05-13. URL: https://stockanalysis.com/quote/bme/ITX/statistics/</t>
      </text>
    </comment>
    <comment ref="C7" authorId="0" shapeId="0">
      <text>
        <t>stockanalysis.com, accessed 2026-05-13. URL: https://stockanalysis.com/quote/bme/ITX/statistics/</t>
      </text>
    </comment>
    <comment ref="D7" authorId="0" shapeId="0">
      <text>
        <t>stockanalysis.com, accessed 2026-05-13. URL: https://stockanalysis.com/quote/bme/ITX/statistics/</t>
      </text>
    </comment>
    <comment ref="E7" authorId="0" shapeId="0">
      <text>
        <t>stockanalysis.com, accessed 2026-05-13. URL: https://stockanalysis.com/quote/bme/ITX/statistics/</t>
      </text>
    </comment>
    <comment ref="F7" authorId="0" shapeId="0">
      <text>
        <t>stockanalysis.com, accessed 2026-05-13. URL: https://stockanalysis.com/quote/bme/ITX/statistics/</t>
      </text>
    </comment>
    <comment ref="A8" authorId="0" shapeId="0">
      <text>
        <t>stockanalysis.com, accessed 2026-05-13. URL: https://stockanalysis.com/quote/sto/HM.B/statistics/</t>
      </text>
    </comment>
    <comment ref="B8" authorId="0" shapeId="0">
      <text>
        <t>stockanalysis.com, accessed 2026-05-13. URL: https://stockanalysis.com/quote/sto/HM.B/statistics/</t>
      </text>
    </comment>
    <comment ref="C8" authorId="0" shapeId="0">
      <text>
        <t>stockanalysis.com, accessed 2026-05-13. URL: https://stockanalysis.com/quote/sto/HM.B/statistics/</t>
      </text>
    </comment>
    <comment ref="D8" authorId="0" shapeId="0">
      <text>
        <t>stockanalysis.com, accessed 2026-05-13. URL: https://stockanalysis.com/quote/sto/HM.B/statistics/</t>
      </text>
    </comment>
    <comment ref="E8" authorId="0" shapeId="0">
      <text>
        <t>stockanalysis.com, accessed 2026-05-13. URL: https://stockanalysis.com/quote/sto/HM.B/statistics/</t>
      </text>
    </comment>
    <comment ref="F8" authorId="0" shapeId="0">
      <text>
        <t>stockanalysis.com, accessed 2026-05-13. URL: https://stockanalysis.com/quote/sto/HM.B/statistics/</t>
      </text>
    </comment>
    <comment ref="A9" authorId="0" shapeId="0">
      <text>
        <t>stockanalysis.com, accessed 2026-05-13. URL: https://stockanalysis.com/quote/tyo/9983/statistics/</t>
      </text>
    </comment>
    <comment ref="B9" authorId="0" shapeId="0">
      <text>
        <t>stockanalysis.com, accessed 2026-05-13. URL: https://stockanalysis.com/quote/tyo/9983/statistics/</t>
      </text>
    </comment>
    <comment ref="C9" authorId="0" shapeId="0">
      <text>
        <t>stockanalysis.com, accessed 2026-05-13. URL: https://stockanalysis.com/quote/tyo/9983/statistics/</t>
      </text>
    </comment>
    <comment ref="D9" authorId="0" shapeId="0">
      <text>
        <t>stockanalysis.com, accessed 2026-05-13. URL: https://stockanalysis.com/quote/tyo/9983/statistics/</t>
      </text>
    </comment>
    <comment ref="E9" authorId="0" shapeId="0">
      <text>
        <t>stockanalysis.com, accessed 2026-05-13. URL: https://stockanalysis.com/quote/tyo/9983/statistics/</t>
      </text>
    </comment>
    <comment ref="F9" authorId="0" shapeId="0">
      <text>
        <t>stockanalysis.com, accessed 2026-05-13. URL: https://stockanalysis.com/quote/tyo/9983/statistics/</t>
      </text>
    </comment>
    <comment ref="A10" authorId="0" shapeId="0">
      <text>
        <t>stockanalysis.com, accessed 2026-05-13. URL: https://stockanalysis.com/quote/lon/NXT/statistics/</t>
      </text>
    </comment>
    <comment ref="B10" authorId="0" shapeId="0">
      <text>
        <t>stockanalysis.com, accessed 2026-05-13. URL: https://stockanalysis.com/quote/lon/NXT/statistics/</t>
      </text>
    </comment>
    <comment ref="C10" authorId="0" shapeId="0">
      <text>
        <t>stockanalysis.com, accessed 2026-05-13. URL: https://stockanalysis.com/quote/lon/NXT/statistics/</t>
      </text>
    </comment>
    <comment ref="D10" authorId="0" shapeId="0">
      <text>
        <t>stockanalysis.com, accessed 2026-05-13. URL: https://stockanalysis.com/quote/lon/NXT/statistics/</t>
      </text>
    </comment>
    <comment ref="E10" authorId="0" shapeId="0">
      <text>
        <t>stockanalysis.com, accessed 2026-05-13. URL: https://stockanalysis.com/quote/lon/NXT/statistics/</t>
      </text>
    </comment>
    <comment ref="F10" authorId="0" shapeId="0">
      <text>
        <t>stockanalysis.com, accessed 2026-05-13. URL: https://stockanalysis.com/quote/lon/NXT/statistics/</t>
      </text>
    </comment>
    <comment ref="A11" authorId="0" shapeId="0">
      <text>
        <t>stockanalysis.com, accessed 2026-05-13. URL: https://stockanalysis.com/stocks/gap/statistics/</t>
      </text>
    </comment>
    <comment ref="B11" authorId="0" shapeId="0">
      <text>
        <t>stockanalysis.com, accessed 2026-05-13. URL: https://stockanalysis.com/stocks/gap/statistics/</t>
      </text>
    </comment>
    <comment ref="C11" authorId="0" shapeId="0">
      <text>
        <t>stockanalysis.com, accessed 2026-05-13. URL: https://stockanalysis.com/stocks/gap/statistics/</t>
      </text>
    </comment>
    <comment ref="D11" authorId="0" shapeId="0">
      <text>
        <t>stockanalysis.com, accessed 2026-05-13. URL: https://stockanalysis.com/stocks/gap/statistics/</t>
      </text>
    </comment>
    <comment ref="E11" authorId="0" shapeId="0">
      <text>
        <t>stockanalysis.com, accessed 2026-05-13. URL: https://stockanalysis.com/stocks/gap/statistics/</t>
      </text>
    </comment>
    <comment ref="F11" authorId="0" shapeId="0">
      <text>
        <t>stockanalysis.com, accessed 2026-05-13. URL: https://stockanalysis.com/stocks/gap/statistics/</t>
      </text>
    </comment>
    <comment ref="A12" authorId="0" shapeId="0">
      <text>
        <t>stockanalysis.com, accessed 2026-05-13. URL: https://stockanalysis.com/stocks/anf/statistics/</t>
      </text>
    </comment>
    <comment ref="B12" authorId="0" shapeId="0">
      <text>
        <t>stockanalysis.com, accessed 2026-05-13. URL: https://stockanalysis.com/stocks/anf/statistics/</t>
      </text>
    </comment>
    <comment ref="C12" authorId="0" shapeId="0">
      <text>
        <t>stockanalysis.com, accessed 2026-05-13. URL: https://stockanalysis.com/stocks/anf/statistics/</t>
      </text>
    </comment>
    <comment ref="D12" authorId="0" shapeId="0">
      <text>
        <t>stockanalysis.com, accessed 2026-05-13. URL: https://stockanalysis.com/stocks/anf/statistics/</t>
      </text>
    </comment>
    <comment ref="E12" authorId="0" shapeId="0">
      <text>
        <t>stockanalysis.com, accessed 2026-05-13. URL: https://stockanalysis.com/stocks/anf/statistics/</t>
      </text>
    </comment>
    <comment ref="F12" authorId="0" shapeId="0">
      <text>
        <t>stockanalysis.com, accessed 2026-05-13. URL: https://stockanalysis.com/stocks/anf/statistics/</t>
      </text>
    </comment>
    <comment ref="A22" authorId="0" shapeId="0">
      <text>
        <t>stockanalysis.com, accessed 2026-05-13. URL: https://stockanalysis.com/quote/bme/ITX/statistics/</t>
      </text>
    </comment>
    <comment ref="B22" authorId="0" shapeId="0">
      <text>
        <t>stockanalysis.com, accessed 2026-05-13. URL: https://stockanalysis.com/quote/bme/ITX/statistics/</t>
      </text>
    </comment>
    <comment ref="C22" authorId="0" shapeId="0">
      <text>
        <t>stockanalysis.com, accessed 2026-05-13. URL: https://stockanalysis.com/quote/bme/ITX/statistics/</t>
      </text>
    </comment>
    <comment ref="F22" authorId="0" shapeId="0">
      <text>
        <t>stockanalysis.com, accessed 2026-05-13. URL: https://stockanalysis.com/quote/bme/ITX/statistics/</t>
      </text>
    </comment>
    <comment ref="G22" authorId="0" shapeId="0">
      <text>
        <t>stockanalysis.com, accessed 2026-05-13. URL: https://stockanalysis.com/quote/bme/ITX/statistics/</t>
      </text>
    </comment>
    <comment ref="H22" authorId="0" shapeId="0">
      <text>
        <t>stockanalysis.com, accessed 2026-05-13. URL: https://stockanalysis.com/quote/bme/ITX/statistics/</t>
      </text>
    </comment>
    <comment ref="A23" authorId="0" shapeId="0">
      <text>
        <t>stockanalysis.com, accessed 2026-05-13. URL: https://stockanalysis.com/quote/sto/HM.B/statistics/</t>
      </text>
    </comment>
    <comment ref="B23" authorId="0" shapeId="0">
      <text>
        <t>stockanalysis.com, accessed 2026-05-13. URL: https://stockanalysis.com/quote/sto/HM.B/statistics/</t>
      </text>
    </comment>
    <comment ref="C23" authorId="0" shapeId="0">
      <text>
        <t>stockanalysis.com, accessed 2026-05-13. URL: https://stockanalysis.com/quote/sto/HM.B/statistics/</t>
      </text>
    </comment>
    <comment ref="F23" authorId="0" shapeId="0">
      <text>
        <t>stockanalysis.com, accessed 2026-05-13. URL: https://stockanalysis.com/quote/sto/HM.B/statistics/</t>
      </text>
    </comment>
    <comment ref="G23" authorId="0" shapeId="0">
      <text>
        <t>stockanalysis.com, accessed 2026-05-13. URL: https://stockanalysis.com/quote/sto/HM.B/statistics/</t>
      </text>
    </comment>
    <comment ref="H23" authorId="0" shapeId="0">
      <text>
        <t>stockanalysis.com, accessed 2026-05-13. URL: https://stockanalysis.com/quote/sto/HM.B/statistics/</t>
      </text>
    </comment>
    <comment ref="A24" authorId="0" shapeId="0">
      <text>
        <t>stockanalysis.com, accessed 2026-05-13. URL: https://stockanalysis.com/quote/tyo/9983/statistics/</t>
      </text>
    </comment>
    <comment ref="B24" authorId="0" shapeId="0">
      <text>
        <t>stockanalysis.com, accessed 2026-05-13. URL: https://stockanalysis.com/quote/tyo/9983/statistics/</t>
      </text>
    </comment>
    <comment ref="C24" authorId="0" shapeId="0">
      <text>
        <t>stockanalysis.com, accessed 2026-05-13. URL: https://stockanalysis.com/quote/tyo/9983/statistics/</t>
      </text>
    </comment>
    <comment ref="F24" authorId="0" shapeId="0">
      <text>
        <t>stockanalysis.com, accessed 2026-05-13. URL: https://stockanalysis.com/quote/tyo/9983/statistics/</t>
      </text>
    </comment>
    <comment ref="G24" authorId="0" shapeId="0">
      <text>
        <t>stockanalysis.com, accessed 2026-05-13. URL: https://stockanalysis.com/quote/tyo/9983/statistics/</t>
      </text>
    </comment>
    <comment ref="H24" authorId="0" shapeId="0">
      <text>
        <t>stockanalysis.com, accessed 2026-05-13. URL: https://stockanalysis.com/quote/tyo/9983/statistics/</t>
      </text>
    </comment>
    <comment ref="A25" authorId="0" shapeId="0">
      <text>
        <t>stockanalysis.com, accessed 2026-05-13. URL: https://stockanalysis.com/quote/lon/NXT/statistics/</t>
      </text>
    </comment>
    <comment ref="B25" authorId="0" shapeId="0">
      <text>
        <t>stockanalysis.com, accessed 2026-05-13. URL: https://stockanalysis.com/quote/lon/NXT/statistics/</t>
      </text>
    </comment>
    <comment ref="C25" authorId="0" shapeId="0">
      <text>
        <t>stockanalysis.com, accessed 2026-05-13. URL: https://stockanalysis.com/quote/lon/NXT/statistics/</t>
      </text>
    </comment>
    <comment ref="F25" authorId="0" shapeId="0">
      <text>
        <t>stockanalysis.com, accessed 2026-05-13. URL: https://stockanalysis.com/quote/lon/NXT/statistics/</t>
      </text>
    </comment>
    <comment ref="G25" authorId="0" shapeId="0">
      <text>
        <t>stockanalysis.com, accessed 2026-05-13. URL: https://stockanalysis.com/quote/lon/NXT/statistics/</t>
      </text>
    </comment>
    <comment ref="H25" authorId="0" shapeId="0">
      <text>
        <t>stockanalysis.com, accessed 2026-05-13. URL: https://stockanalysis.com/quote/lon/NXT/statistics/</t>
      </text>
    </comment>
    <comment ref="A26" authorId="0" shapeId="0">
      <text>
        <t>stockanalysis.com, accessed 2026-05-13. URL: https://stockanalysis.com/stocks/gap/statistics/</t>
      </text>
    </comment>
    <comment ref="B26" authorId="0" shapeId="0">
      <text>
        <t>stockanalysis.com, accessed 2026-05-13. URL: https://stockanalysis.com/stocks/gap/statistics/</t>
      </text>
    </comment>
    <comment ref="C26" authorId="0" shapeId="0">
      <text>
        <t>stockanalysis.com, accessed 2026-05-13. URL: https://stockanalysis.com/stocks/gap/statistics/</t>
      </text>
    </comment>
    <comment ref="F26" authorId="0" shapeId="0">
      <text>
        <t>stockanalysis.com, accessed 2026-05-13. URL: https://stockanalysis.com/stocks/gap/statistics/</t>
      </text>
    </comment>
    <comment ref="G26" authorId="0" shapeId="0">
      <text>
        <t>stockanalysis.com, accessed 2026-05-13. URL: https://stockanalysis.com/stocks/gap/statistics/</t>
      </text>
    </comment>
    <comment ref="H26" authorId="0" shapeId="0">
      <text>
        <t>stockanalysis.com, accessed 2026-05-13. URL: https://stockanalysis.com/stocks/gap/statistics/</t>
      </text>
    </comment>
    <comment ref="A27" authorId="0" shapeId="0">
      <text>
        <t>stockanalysis.com, accessed 2026-05-13. URL: https://stockanalysis.com/stocks/anf/statistics/</t>
      </text>
    </comment>
    <comment ref="B27" authorId="0" shapeId="0">
      <text>
        <t>stockanalysis.com, accessed 2026-05-13. URL: https://stockanalysis.com/stocks/anf/statistics/</t>
      </text>
    </comment>
    <comment ref="C27" authorId="0" shapeId="0">
      <text>
        <t>stockanalysis.com, accessed 2026-05-13. URL: https://stockanalysis.com/stocks/anf/statistics/</t>
      </text>
    </comment>
    <comment ref="F27" authorId="0" shapeId="0">
      <text>
        <t>stockanalysis.com, accessed 2026-05-13. URL: https://stockanalysis.com/stocks/anf/statistics/</t>
      </text>
    </comment>
    <comment ref="G27" authorId="0" shapeId="0">
      <text>
        <t>stockanalysis.com, accessed 2026-05-13. URL: https://stockanalysis.com/stocks/anf/statistics/</t>
      </text>
    </comment>
    <comment ref="H27" authorId="0" shapeId="0">
      <text>
        <t>stockanalysis.com, accessed 2026-05-13. URL: https://stockanalysis.com/stocks/anf/statistics/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22" customHeight="1">
      <c r="A1" s="1" t="inlineStr">
        <is>
          <t>RETAIL APPAREL - COMPARABLE COMPANY ANALYSIS</t>
        </is>
      </c>
    </row>
    <row r="2" ht="22" customHeight="1">
      <c r="A2" s="2" t="inlineStr">
        <is>
          <t>Inditex (ITX) vs H&amp;M (HM-B) vs Fast Retailing (9983) vs Next (NXT) vs Gap (GAP) vs Abercrombie (ANF)</t>
        </is>
      </c>
    </row>
    <row r="3" ht="22" customHeight="1">
      <c r="A3" s="2" t="inlineStr">
        <is>
          <t>As of 2026-05-13 | Revenue/MCap/EV in local currency (EUR/SEK/JPY/GBP/USD) | Multiples and margins currency-neutral</t>
        </is>
      </c>
    </row>
    <row r="4" ht="22" customHeight="1"/>
    <row r="5" ht="22" customHeight="1">
      <c r="A5" s="3" t="inlineStr">
        <is>
          <t>OPERATING METRICS</t>
        </is>
      </c>
      <c r="B5" s="3" t="n"/>
      <c r="C5" s="3" t="n"/>
      <c r="D5" s="3" t="n"/>
      <c r="E5" s="3" t="n"/>
      <c r="F5" s="3" t="n"/>
      <c r="G5" s="3" t="n"/>
    </row>
    <row r="6" ht="22" customHeight="1">
      <c r="A6" s="4" t="inlineStr">
        <is>
          <t>Company</t>
        </is>
      </c>
      <c r="B6" s="4" t="inlineStr">
        <is>
          <t>Revenue (LCY M)</t>
        </is>
      </c>
      <c r="C6" s="4" t="inlineStr">
        <is>
          <t>Gross Margin</t>
        </is>
      </c>
      <c r="D6" s="4" t="inlineStr">
        <is>
          <t>EBITDA Margin</t>
        </is>
      </c>
      <c r="E6" s="4" t="inlineStr">
        <is>
          <t>Op Margin</t>
        </is>
      </c>
      <c r="F6" s="4" t="inlineStr">
        <is>
          <t>Net Margin</t>
        </is>
      </c>
      <c r="G6" s="4" t="inlineStr">
        <is>
          <t>Currency</t>
        </is>
      </c>
    </row>
    <row r="7" ht="22" customHeight="1">
      <c r="A7" s="5" t="inlineStr">
        <is>
          <t>Inditex</t>
        </is>
      </c>
      <c r="B7" s="6" t="n">
        <v>39860</v>
      </c>
      <c r="C7" s="7" t="n">
        <v>0.5629703963873558</v>
      </c>
      <c r="D7" s="7" t="n">
        <v>0.2355745107877572</v>
      </c>
      <c r="E7" s="7" t="n">
        <v>0.2018</v>
      </c>
      <c r="F7" s="7" t="n">
        <v>0.156</v>
      </c>
      <c r="G7" s="8" t="inlineStr">
        <is>
          <t>EUR</t>
        </is>
      </c>
    </row>
    <row r="8" ht="22" customHeight="1">
      <c r="A8" s="5" t="inlineStr">
        <is>
          <t>H&amp;M</t>
        </is>
      </c>
      <c r="B8" s="6" t="n">
        <v>222560</v>
      </c>
      <c r="C8" s="7" t="n">
        <v>0.5382368799424874</v>
      </c>
      <c r="D8" s="7" t="n">
        <v>0.1091391085549964</v>
      </c>
      <c r="E8" s="7" t="n">
        <v>0.08449999999999999</v>
      </c>
      <c r="F8" s="7" t="n">
        <v>0.0552</v>
      </c>
      <c r="G8" s="8" t="inlineStr">
        <is>
          <t>SEK</t>
        </is>
      </c>
    </row>
    <row r="9" ht="22" customHeight="1">
      <c r="A9" s="5" t="inlineStr">
        <is>
          <t>Fast Retailing</t>
        </is>
      </c>
      <c r="B9" s="6" t="n">
        <v>3670000</v>
      </c>
      <c r="C9" s="7" t="n">
        <v>0.5422343324250681</v>
      </c>
      <c r="D9" s="7" t="n">
        <v>0.1915476839237057</v>
      </c>
      <c r="E9" s="7" t="n">
        <v>0.1757</v>
      </c>
      <c r="F9" s="7" t="n">
        <v>0.1306</v>
      </c>
      <c r="G9" s="8" t="inlineStr">
        <is>
          <t>JPY</t>
        </is>
      </c>
    </row>
    <row r="10" ht="22" customHeight="1">
      <c r="A10" s="5" t="inlineStr">
        <is>
          <t>Next</t>
        </is>
      </c>
      <c r="B10" s="6" t="n">
        <v>6900</v>
      </c>
      <c r="C10" s="7" t="n">
        <v>0.4420289855072464</v>
      </c>
      <c r="D10" s="7" t="n">
        <v>0.2057971014492753</v>
      </c>
      <c r="E10" s="7" t="n">
        <v>0.185</v>
      </c>
      <c r="F10" s="7" t="n">
        <v>0.1287</v>
      </c>
      <c r="G10" s="8" t="inlineStr">
        <is>
          <t>GBP</t>
        </is>
      </c>
    </row>
    <row r="11" ht="22" customHeight="1">
      <c r="A11" s="5" t="inlineStr">
        <is>
          <t>Gap</t>
        </is>
      </c>
      <c r="B11" s="6" t="n">
        <v>15370</v>
      </c>
      <c r="C11" s="7" t="n">
        <v>0.4079375406636305</v>
      </c>
      <c r="D11" s="7" t="n">
        <v>0.1040988939492518</v>
      </c>
      <c r="E11" s="7" t="n">
        <v>0.0718</v>
      </c>
      <c r="F11" s="7" t="n">
        <v>0.05309999999999999</v>
      </c>
      <c r="G11" s="8" t="inlineStr">
        <is>
          <t>USD</t>
        </is>
      </c>
    </row>
    <row r="12" ht="22" customHeight="1">
      <c r="A12" s="5" t="inlineStr">
        <is>
          <t>Abercrombie</t>
        </is>
      </c>
      <c r="B12" s="6" t="n">
        <v>5270</v>
      </c>
      <c r="C12" s="7" t="n">
        <v>0.6148007590132827</v>
      </c>
      <c r="D12" s="7" t="n">
        <v>0.1583301707779886</v>
      </c>
      <c r="E12" s="7" t="n">
        <v>0.129</v>
      </c>
      <c r="F12" s="7" t="n">
        <v>0.09630000000000001</v>
      </c>
      <c r="G12" s="8" t="inlineStr">
        <is>
          <t>USD</t>
        </is>
      </c>
    </row>
    <row r="13" ht="22" customHeight="1"/>
    <row r="14" ht="22" customHeight="1">
      <c r="A14" s="9" t="inlineStr">
        <is>
          <t>Max</t>
        </is>
      </c>
      <c r="B14" s="10" t="inlineStr"/>
      <c r="C14" s="11">
        <f>MAX(C7:C12)</f>
        <v/>
      </c>
      <c r="D14" s="11">
        <f>MAX(D7:D12)</f>
        <v/>
      </c>
      <c r="E14" s="11">
        <f>MAX(E7:E12)</f>
        <v/>
      </c>
      <c r="F14" s="11">
        <f>MAX(F7:F12)</f>
        <v/>
      </c>
      <c r="G14" s="10" t="inlineStr"/>
    </row>
    <row r="15" ht="22" customHeight="1">
      <c r="A15" s="9" t="inlineStr">
        <is>
          <t>75th Percentile</t>
        </is>
      </c>
      <c r="B15" s="10" t="inlineStr"/>
      <c r="C15" s="11">
        <f>QUARTILE(C7:C12,3)</f>
        <v/>
      </c>
      <c r="D15" s="11">
        <f>QUARTILE(D7:D12,3)</f>
        <v/>
      </c>
      <c r="E15" s="11">
        <f>QUARTILE(E7:E12,3)</f>
        <v/>
      </c>
      <c r="F15" s="11">
        <f>QUARTILE(F7:F12,3)</f>
        <v/>
      </c>
      <c r="G15" s="10" t="inlineStr"/>
    </row>
    <row r="16" ht="22" customHeight="1">
      <c r="A16" s="9" t="inlineStr">
        <is>
          <t>Median</t>
        </is>
      </c>
      <c r="B16" s="10" t="inlineStr"/>
      <c r="C16" s="11">
        <f>MEDIAN(C7:C12)</f>
        <v/>
      </c>
      <c r="D16" s="11">
        <f>MEDIAN(D7:D12)</f>
        <v/>
      </c>
      <c r="E16" s="11">
        <f>MEDIAN(E7:E12)</f>
        <v/>
      </c>
      <c r="F16" s="11">
        <f>MEDIAN(F7:F12)</f>
        <v/>
      </c>
      <c r="G16" s="10" t="inlineStr"/>
    </row>
    <row r="17" ht="22" customHeight="1">
      <c r="A17" s="9" t="inlineStr">
        <is>
          <t>25th Percentile</t>
        </is>
      </c>
      <c r="B17" s="10" t="inlineStr"/>
      <c r="C17" s="11">
        <f>QUARTILE(C7:C12,1)</f>
        <v/>
      </c>
      <c r="D17" s="11">
        <f>QUARTILE(D7:D12,1)</f>
        <v/>
      </c>
      <c r="E17" s="11">
        <f>QUARTILE(E7:E12,1)</f>
        <v/>
      </c>
      <c r="F17" s="11">
        <f>QUARTILE(F7:F12,1)</f>
        <v/>
      </c>
      <c r="G17" s="10" t="inlineStr"/>
    </row>
    <row r="18" ht="22" customHeight="1">
      <c r="A18" s="9" t="inlineStr">
        <is>
          <t>Min</t>
        </is>
      </c>
      <c r="B18" s="10" t="inlineStr"/>
      <c r="C18" s="11">
        <f>MIN(C7:C12)</f>
        <v/>
      </c>
      <c r="D18" s="11">
        <f>MIN(D7:D12)</f>
        <v/>
      </c>
      <c r="E18" s="11">
        <f>MIN(E7:E12)</f>
        <v/>
      </c>
      <c r="F18" s="11">
        <f>MIN(F7:F12)</f>
        <v/>
      </c>
      <c r="G18" s="10" t="inlineStr"/>
    </row>
    <row r="19" ht="22" customHeight="1"/>
    <row r="20" ht="22" customHeight="1">
      <c r="A20" s="3" t="inlineStr">
        <is>
          <t>VALUATION MULTIPLES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</row>
    <row r="21" ht="22" customHeight="1">
      <c r="A21" s="4" t="inlineStr">
        <is>
          <t>Company</t>
        </is>
      </c>
      <c r="B21" s="4" t="inlineStr">
        <is>
          <t>Market Cap (LCY M)</t>
        </is>
      </c>
      <c r="C21" s="4" t="inlineStr">
        <is>
          <t>Enterprise Value (LCY M)</t>
        </is>
      </c>
      <c r="D21" s="4" t="inlineStr">
        <is>
          <t>EV / Sales</t>
        </is>
      </c>
      <c r="E21" s="4" t="inlineStr">
        <is>
          <t>EV / EBITDA</t>
        </is>
      </c>
      <c r="F21" s="4" t="inlineStr">
        <is>
          <t>P/E (TTM)</t>
        </is>
      </c>
      <c r="G21" s="4" t="inlineStr">
        <is>
          <t>P/E (Fwd)</t>
        </is>
      </c>
      <c r="H21" s="4" t="inlineStr">
        <is>
          <t>Beta (5Y)</t>
        </is>
      </c>
      <c r="I21" s="4" t="inlineStr">
        <is>
          <t>Currency</t>
        </is>
      </c>
    </row>
    <row r="22" ht="22" customHeight="1">
      <c r="A22" s="5" t="inlineStr">
        <is>
          <t>Inditex</t>
        </is>
      </c>
      <c r="B22" s="6" t="n">
        <v>151000</v>
      </c>
      <c r="C22" s="6" t="n">
        <v>145980</v>
      </c>
      <c r="D22" s="12">
        <f>C22/B7</f>
        <v/>
      </c>
      <c r="E22" s="12">
        <f>C22/(B7*D7)</f>
        <v/>
      </c>
      <c r="F22" s="13" t="n">
        <v>24.3</v>
      </c>
      <c r="G22" s="13" t="n">
        <v>22.1</v>
      </c>
      <c r="H22" s="14" t="n">
        <v>0.92</v>
      </c>
      <c r="I22" s="8" t="inlineStr">
        <is>
          <t>EUR</t>
        </is>
      </c>
    </row>
    <row r="23" ht="22" customHeight="1">
      <c r="A23" s="5" t="inlineStr">
        <is>
          <t>H&amp;M</t>
        </is>
      </c>
      <c r="B23" s="6" t="n">
        <v>254840</v>
      </c>
      <c r="C23" s="6" t="n">
        <v>312930</v>
      </c>
      <c r="D23" s="12">
        <f>C23/B8</f>
        <v/>
      </c>
      <c r="E23" s="12">
        <f>C23/(B8*D8)</f>
        <v/>
      </c>
      <c r="F23" s="13" t="n">
        <v>20.8</v>
      </c>
      <c r="G23" s="13" t="n">
        <v>18.41</v>
      </c>
      <c r="H23" s="14" t="n">
        <v>1.01</v>
      </c>
      <c r="I23" s="8" t="inlineStr">
        <is>
          <t>SEK</t>
        </is>
      </c>
    </row>
    <row r="24" ht="22" customHeight="1">
      <c r="A24" s="5" t="inlineStr">
        <is>
          <t>Fast Retailing</t>
        </is>
      </c>
      <c r="B24" s="6" t="n">
        <v>22160000</v>
      </c>
      <c r="C24" s="6" t="n">
        <v>20700000</v>
      </c>
      <c r="D24" s="12">
        <f>C24/B9</f>
        <v/>
      </c>
      <c r="E24" s="12">
        <f>C24/(B9*D9)</f>
        <v/>
      </c>
      <c r="F24" s="13" t="n">
        <v>46.35</v>
      </c>
      <c r="G24" s="13" t="n">
        <v>42.9</v>
      </c>
      <c r="H24" s="14" t="n">
        <v>0.45</v>
      </c>
      <c r="I24" s="8" t="inlineStr">
        <is>
          <t>JPY</t>
        </is>
      </c>
    </row>
    <row r="25" ht="22" customHeight="1">
      <c r="A25" s="5" t="inlineStr">
        <is>
          <t>Next</t>
        </is>
      </c>
      <c r="B25" s="6" t="n">
        <v>14300</v>
      </c>
      <c r="C25" s="6" t="n">
        <v>16130</v>
      </c>
      <c r="D25" s="12">
        <f>C25/B10</f>
        <v/>
      </c>
      <c r="E25" s="12">
        <f>C25/(B10*D10)</f>
        <v/>
      </c>
      <c r="F25" s="13" t="n">
        <v>16.7</v>
      </c>
      <c r="G25" s="13" t="n">
        <v>15.54</v>
      </c>
      <c r="H25" s="14" t="n">
        <v>1.05</v>
      </c>
      <c r="I25" s="8" t="inlineStr">
        <is>
          <t>GBP</t>
        </is>
      </c>
    </row>
    <row r="26" ht="22" customHeight="1">
      <c r="A26" s="5" t="inlineStr">
        <is>
          <t>Gap</t>
        </is>
      </c>
      <c r="B26" s="6" t="n">
        <v>7820</v>
      </c>
      <c r="C26" s="6" t="n">
        <v>10430</v>
      </c>
      <c r="D26" s="12">
        <f>C26/B11</f>
        <v/>
      </c>
      <c r="E26" s="12">
        <f>C26/(B11*D11)</f>
        <v/>
      </c>
      <c r="F26" s="13" t="n">
        <v>10.05</v>
      </c>
      <c r="G26" s="13" t="n">
        <v>9.300000000000001</v>
      </c>
      <c r="H26" s="14" t="n">
        <v>2.08</v>
      </c>
      <c r="I26" s="8" t="inlineStr">
        <is>
          <t>USD</t>
        </is>
      </c>
    </row>
    <row r="27" ht="22" customHeight="1">
      <c r="A27" s="5" t="inlineStr">
        <is>
          <t>Abercrombie</t>
        </is>
      </c>
      <c r="B27" s="6" t="n">
        <v>3270</v>
      </c>
      <c r="C27" s="6" t="n">
        <v>3650</v>
      </c>
      <c r="D27" s="12">
        <f>C27/B12</f>
        <v/>
      </c>
      <c r="E27" s="12">
        <f>C27/(B12*D12)</f>
        <v/>
      </c>
      <c r="F27" s="13" t="n">
        <v>6.98</v>
      </c>
      <c r="G27" s="13" t="n">
        <v>6.82</v>
      </c>
      <c r="H27" s="14" t="n">
        <v>0.97</v>
      </c>
      <c r="I27" s="8" t="inlineStr">
        <is>
          <t>USD</t>
        </is>
      </c>
    </row>
    <row r="28" ht="22" customHeight="1"/>
    <row r="29" ht="22" customHeight="1">
      <c r="A29" s="9" t="inlineStr">
        <is>
          <t>Max</t>
        </is>
      </c>
      <c r="B29" s="10" t="inlineStr"/>
      <c r="C29" s="10" t="inlineStr"/>
      <c r="D29" s="15">
        <f>MAX(D22:D27)</f>
        <v/>
      </c>
      <c r="E29" s="15">
        <f>MAX(E22:E27)</f>
        <v/>
      </c>
      <c r="F29" s="15">
        <f>MAX(F22:F27)</f>
        <v/>
      </c>
      <c r="G29" s="15">
        <f>MAX(G22:G27)</f>
        <v/>
      </c>
      <c r="H29" s="16">
        <f>MAX(H22:H27)</f>
        <v/>
      </c>
      <c r="I29" s="10" t="inlineStr"/>
    </row>
    <row r="30" ht="22" customHeight="1">
      <c r="A30" s="9" t="inlineStr">
        <is>
          <t>75th Percentile</t>
        </is>
      </c>
      <c r="B30" s="10" t="inlineStr"/>
      <c r="C30" s="10" t="inlineStr"/>
      <c r="D30" s="15">
        <f>QUARTILE(D22:D27,3)</f>
        <v/>
      </c>
      <c r="E30" s="15">
        <f>QUARTILE(E22:E27,3)</f>
        <v/>
      </c>
      <c r="F30" s="15">
        <f>QUARTILE(F22:F27,3)</f>
        <v/>
      </c>
      <c r="G30" s="15">
        <f>QUARTILE(G22:G27,3)</f>
        <v/>
      </c>
      <c r="H30" s="16">
        <f>QUARTILE(H22:H27,3)</f>
        <v/>
      </c>
      <c r="I30" s="10" t="inlineStr"/>
    </row>
    <row r="31" ht="22" customHeight="1">
      <c r="A31" s="9" t="inlineStr">
        <is>
          <t>Median</t>
        </is>
      </c>
      <c r="B31" s="10" t="inlineStr"/>
      <c r="C31" s="10" t="inlineStr"/>
      <c r="D31" s="15">
        <f>MEDIAN(D22:D27)</f>
        <v/>
      </c>
      <c r="E31" s="15">
        <f>MEDIAN(E22:E27)</f>
        <v/>
      </c>
      <c r="F31" s="15">
        <f>MEDIAN(F22:F27)</f>
        <v/>
      </c>
      <c r="G31" s="15">
        <f>MEDIAN(G22:G27)</f>
        <v/>
      </c>
      <c r="H31" s="16">
        <f>MEDIAN(H22:H27)</f>
        <v/>
      </c>
      <c r="I31" s="10" t="inlineStr"/>
    </row>
    <row r="32" ht="22" customHeight="1">
      <c r="A32" s="9" t="inlineStr">
        <is>
          <t>25th Percentile</t>
        </is>
      </c>
      <c r="B32" s="10" t="inlineStr"/>
      <c r="C32" s="10" t="inlineStr"/>
      <c r="D32" s="15">
        <f>QUARTILE(D22:D27,1)</f>
        <v/>
      </c>
      <c r="E32" s="15">
        <f>QUARTILE(E22:E27,1)</f>
        <v/>
      </c>
      <c r="F32" s="15">
        <f>QUARTILE(F22:F27,1)</f>
        <v/>
      </c>
      <c r="G32" s="15">
        <f>QUARTILE(G22:G27,1)</f>
        <v/>
      </c>
      <c r="H32" s="16">
        <f>QUARTILE(H22:H27,1)</f>
        <v/>
      </c>
      <c r="I32" s="10" t="inlineStr"/>
    </row>
    <row r="33" ht="22" customHeight="1">
      <c r="A33" s="9" t="inlineStr">
        <is>
          <t>Min</t>
        </is>
      </c>
      <c r="B33" s="10" t="inlineStr"/>
      <c r="C33" s="10" t="inlineStr"/>
      <c r="D33" s="15">
        <f>MIN(D22:D27)</f>
        <v/>
      </c>
      <c r="E33" s="15">
        <f>MIN(E22:E27)</f>
        <v/>
      </c>
      <c r="F33" s="15">
        <f>MIN(F22:F27)</f>
        <v/>
      </c>
      <c r="G33" s="15">
        <f>MIN(G22:G27)</f>
        <v/>
      </c>
      <c r="H33" s="16">
        <f>MIN(H22:H27)</f>
        <v/>
      </c>
      <c r="I33" s="10" t="inlineStr"/>
    </row>
    <row r="34" ht="22" customHeight="1"/>
    <row r="35" ht="22" customHeight="1"/>
    <row r="36" ht="22" customHeight="1">
      <c r="A36" s="17" t="inlineStr">
        <is>
          <t>NOTES &amp; METHODOLOGY</t>
        </is>
      </c>
    </row>
    <row r="37" ht="22" customHeight="1">
      <c r="A37" s="18" t="inlineStr">
        <is>
          <t>Data source: stockanalysis.com (TTM figures), accessed 2026-05-13. Each input cell links to source URL via comment.</t>
        </is>
      </c>
    </row>
    <row r="38" ht="22" customHeight="1">
      <c r="A38" s="18" t="inlineStr">
        <is>
          <t>Peer selection: 5 listed retail apparel peers globally — H&amp;M (vertical fast fashion, EU), Fast Retailing/Uniqlo (vertical, Asia), Next (UK premium retailer), Gap and Abercrombie (US vertical retailers).</t>
        </is>
      </c>
    </row>
    <row r="39" ht="22" customHeight="1">
      <c r="A39" s="18" t="inlineStr">
        <is>
          <t>Excluded: private (Mango, Primark), pure luxury (LVMH/Kering/Hermes), pure online (ASOS, Shein).</t>
        </is>
      </c>
    </row>
    <row r="40" ht="22" customHeight="1">
      <c r="A40" s="18" t="inlineStr">
        <is>
          <t>Multiples and margins are currency-neutral so cross-currency stats are meaningful. Absolute size (Revenue, Market Cap, EV) shown in local currency — do NOT compare absolute size across rows directly.</t>
        </is>
      </c>
    </row>
    <row r="41" ht="22" customHeight="1">
      <c r="A41" s="18" t="inlineStr">
        <is>
          <t>Stats include Inditex in the calculation range. To benchmark Inditex against peers only, mentally exclude row 7 from stats logic.</t>
        </is>
      </c>
    </row>
    <row r="42" ht="22" customHeight="1">
      <c r="A42" s="18" t="inlineStr">
        <is>
          <t>EBITDA derived: Revenue (col B in op section) times EBITDA margin (col D). Formula chain documented per SKILL.md Section 2 cross-reference rule.</t>
        </is>
      </c>
    </row>
    <row r="43" ht="22" customHeight="1">
      <c r="A43" s="18" t="inlineStr">
        <is>
          <t>Accounting standards: Inditex, H&amp;M, Fast Retailing, Next on IFRS. Gap, Abercrombie on US GAAP. Post-IFRS 16 / ASC 842 lease accounting broadly aligned since 2019.</t>
        </is>
      </c>
    </row>
    <row r="44" ht="22" customHeight="1">
      <c r="A44" s="18" t="inlineStr">
        <is>
          <t>Fiscal year ends differ: Inditex Jan, H&amp;M Nov, Fast Retailing Aug, Next Jan, Gap Jan, ANF Jan. TTM data smooths offset partially.</t>
        </is>
      </c>
    </row>
    <row r="45" ht="22" customHeight="1">
      <c r="A45" s="18" t="inlineStr">
        <is>
          <t>Limitations: no same-store sales (LFL) yet — add for v2. Single point in time, no 3Y history yet.</t>
        </is>
      </c>
    </row>
    <row r="46" ht="22" customHeight="1">
      <c r="A46" s="18" t="inlineStr">
        <is>
          <t>Next step: pull Inditex 5Y historicals from IR for DCF projection. WACC build using Spain risk-free rate, beta 0.92, ERP per Damodaran.</t>
        </is>
      </c>
    </row>
    <row r="47" ht="22" customHeight="1"/>
  </sheetData>
  <mergeCells count="12">
    <mergeCell ref="A43:I43"/>
    <mergeCell ref="A41:I41"/>
    <mergeCell ref="A42:I42"/>
    <mergeCell ref="A37:I37"/>
    <mergeCell ref="A46:I46"/>
    <mergeCell ref="A44:I44"/>
    <mergeCell ref="A45:I45"/>
    <mergeCell ref="A40:I40"/>
    <mergeCell ref="A39:I39"/>
    <mergeCell ref="A20:I20"/>
    <mergeCell ref="A38:I38"/>
    <mergeCell ref="A5:G5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2026-05-13T12:39:38Z</dcterms:created>
  <dcterms:modified xmlns:dcterms="http://purl.org/dc/terms/" xmlns:xsi="http://www.w3.org/2001/XMLSchema-instance" xsi:type="dcterms:W3CDTF">2026-05-13T12:39:38Z</dcterms:modified>
</cp:coreProperties>
</file>