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tex DC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0.0"/>
    <numFmt numFmtId="166" formatCode="0.0000"/>
    <numFmt numFmtId="167" formatCode="0.0&quot;x&quot;"/>
    <numFmt numFmtId="168" formatCode="0.00&quot;x&quot;"/>
  </numFmts>
  <fonts count="6">
    <font>
      <name val="Calibri"/>
      <family val="2"/>
      <color theme="1"/>
      <sz val="11"/>
      <scheme val="minor"/>
    </font>
    <font>
      <name val="Times New Roman"/>
      <b val="1"/>
      <sz val="14"/>
    </font>
    <font>
      <name val="Times New Roman"/>
      <b val="1"/>
      <color rgb="00FFFFFF"/>
      <sz val="12"/>
    </font>
    <font>
      <name val="Times New Roman"/>
      <color rgb="00000000"/>
      <sz val="11"/>
    </font>
    <font>
      <name val="Times New Roman"/>
      <color rgb="000070C0"/>
      <sz val="11"/>
    </font>
    <font>
      <name val="Times New Roman"/>
      <b val="1"/>
      <color rgb="00000000"/>
      <sz val="11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  <fill>
      <patternFill patternType="solid">
        <fgColor rgb="00BDD7EE"/>
        <b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2" fontId="4" fillId="0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center" vertical="center"/>
    </xf>
    <xf numFmtId="1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10" fontId="5" fillId="0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left" vertical="center"/>
    </xf>
    <xf numFmtId="10" fontId="5" fillId="3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left" vertical="center"/>
    </xf>
    <xf numFmtId="164" fontId="3" fillId="4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/>
    </xf>
    <xf numFmtId="3" fontId="5" fillId="0" borderId="0" applyAlignment="1" pivotButton="0" quotePrefix="0" xfId="0">
      <alignment horizontal="center" vertical="center"/>
    </xf>
    <xf numFmtId="3" fontId="3" fillId="0" borderId="0" applyAlignment="1" pivotButton="0" quotePrefix="0" xfId="0">
      <alignment horizontal="center" vertical="center"/>
    </xf>
    <xf numFmtId="3" fontId="5" fillId="3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4" fillId="0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left" vertical="center"/>
    </xf>
    <xf numFmtId="2" fontId="5" fillId="5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4" fontId="5" fillId="5" borderId="0" applyAlignment="1" pivotButton="0" quotePrefix="0" xfId="0">
      <alignment horizontal="center" vertical="center"/>
    </xf>
    <xf numFmtId="168" fontId="3" fillId="0" borderId="0" applyAlignment="1" pivotButton="0" quotePrefix="0" xfId="0">
      <alignment horizontal="center" vertical="center"/>
    </xf>
    <xf numFmtId="0" fontId="5" fillId="3" borderId="0" pivotButton="0" quotePrefix="0" xfId="0"/>
    <xf numFmtId="3" fontId="4" fillId="5" borderId="0" applyAlignment="1" pivotButton="0" quotePrefix="0" xfId="0">
      <alignment horizontal="center" vertical="center"/>
    </xf>
    <xf numFmtId="164" fontId="4" fillId="5" borderId="0" applyAlignment="1" pivotButton="0" quotePrefix="0" xfId="0">
      <alignment horizontal="center" vertical="center"/>
    </xf>
    <xf numFmtId="167" fontId="4" fillId="5" borderId="0" applyAlignment="1" pivotButton="0" quotePrefix="0" xfId="0">
      <alignment horizontal="center" vertical="center"/>
    </xf>
    <xf numFmtId="2" fontId="4" fillId="5" borderId="0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Build script</author>
  </authors>
  <commentList>
    <comment ref="C6" authorId="0" shapeId="0">
      <text>
        <t>Source: see data_sources in inputs.json, accessed 2026-05-13</t>
      </text>
    </comment>
    <comment ref="C7" authorId="0" shapeId="0">
      <text>
        <t>Source: see data_sources in inputs.json, accessed 2026-05-13</t>
      </text>
    </comment>
    <comment ref="C8" authorId="0" shapeId="0">
      <text>
        <t>Source: see data_sources in inputs.json, accessed 2026-05-13</t>
      </text>
    </comment>
    <comment ref="C9" authorId="0" shapeId="0">
      <text>
        <t>Source: see data_sources in inputs.json, accessed 2026-05-13</t>
      </text>
    </comment>
    <comment ref="C10" authorId="0" shapeId="0">
      <text>
        <t>Source: see data_sources in inputs.json, accessed 2026-05-13</t>
      </text>
    </comment>
    <comment ref="C11" authorId="0" shapeId="0">
      <text>
        <t>Source: see data_sources in inputs.json, accessed 2026-05-13</t>
      </text>
    </comment>
    <comment ref="C12" authorId="0" shapeId="0">
      <text>
        <t>Source: see data_sources in inputs.json, accessed 2026-05-13</t>
      </text>
    </comment>
    <comment ref="C13" authorId="0" shapeId="0">
      <text>
        <t>Source: see data_sources in inputs.json, accessed 2026-05-13</t>
      </text>
    </comment>
    <comment ref="C17" authorId="0" shapeId="0">
      <text>
        <t>Spain 10Y government bond yield, May 2026 approx</t>
      </text>
    </comment>
    <comment ref="C18" authorId="0" shapeId="0">
      <text>
        <t>Damodaran 2026 Spain mature market ERP</t>
      </text>
    </comment>
    <comment ref="C19" authorId="0" shapeId="0">
      <text>
        <t>5Y monthly regression</t>
      </text>
    </comment>
    <comment ref="B29" authorId="0" shapeId="0">
      <text>
        <t>FY2021: Source: see data_sources in inputs.json, accessed 2026-05-13</t>
      </text>
    </comment>
    <comment ref="C29" authorId="0" shapeId="0">
      <text>
        <t>FY2022: Source: see data_sources in inputs.json, accessed 2026-05-13</t>
      </text>
    </comment>
    <comment ref="D29" authorId="0" shapeId="0">
      <text>
        <t>FY2023: Source: see data_sources in inputs.json, accessed 2026-05-13</t>
      </text>
    </comment>
    <comment ref="E29" authorId="0" shapeId="0">
      <text>
        <t>FY2024: Source: see data_sources in inputs.json, accessed 2026-05-13</t>
      </text>
    </comment>
    <comment ref="F29" authorId="0" shapeId="0">
      <text>
        <t>FY2025: Source: see data_sources in inputs.json, accessed 2026-05-13</t>
      </text>
    </comment>
    <comment ref="B30" authorId="0" shapeId="0">
      <text>
        <t>FY2021: Source: see data_sources in inputs.json, accessed 2026-05-13</t>
      </text>
    </comment>
    <comment ref="C30" authorId="0" shapeId="0">
      <text>
        <t>FY2022: Source: see data_sources in inputs.json, accessed 2026-05-13</t>
      </text>
    </comment>
    <comment ref="D30" authorId="0" shapeId="0">
      <text>
        <t>FY2023: Source: see data_sources in inputs.json, accessed 2026-05-13</t>
      </text>
    </comment>
    <comment ref="E30" authorId="0" shapeId="0">
      <text>
        <t>FY2024: Source: see data_sources in inputs.json, accessed 2026-05-13</t>
      </text>
    </comment>
    <comment ref="F30" authorId="0" shapeId="0">
      <text>
        <t>FY2025: Source: see data_sources in inputs.json, accessed 2026-05-13</t>
      </text>
    </comment>
    <comment ref="B31" authorId="0" shapeId="0">
      <text>
        <t>FY2021: Source: see data_sources in inputs.json, accessed 2026-05-13</t>
      </text>
    </comment>
    <comment ref="C31" authorId="0" shapeId="0">
      <text>
        <t>FY2022: Source: see data_sources in inputs.json, accessed 2026-05-13</t>
      </text>
    </comment>
    <comment ref="D31" authorId="0" shapeId="0">
      <text>
        <t>FY2023: Source: see data_sources in inputs.json, accessed 2026-05-13</t>
      </text>
    </comment>
    <comment ref="E31" authorId="0" shapeId="0">
      <text>
        <t>FY2024: Source: see data_sources in inputs.json, accessed 2026-05-13</t>
      </text>
    </comment>
    <comment ref="F31" authorId="0" shapeId="0">
      <text>
        <t>FY2025: Source: see data_sources in inputs.json, accessed 2026-05-13</t>
      </text>
    </comment>
    <comment ref="B32" authorId="0" shapeId="0">
      <text>
        <t>FY2021: Source: see data_sources in inputs.json, accessed 2026-05-13</t>
      </text>
    </comment>
    <comment ref="C32" authorId="0" shapeId="0">
      <text>
        <t>FY2022: Source: see data_sources in inputs.json, accessed 2026-05-13</t>
      </text>
    </comment>
    <comment ref="D32" authorId="0" shapeId="0">
      <text>
        <t>FY2023: Source: see data_sources in inputs.json, accessed 2026-05-13</t>
      </text>
    </comment>
    <comment ref="E32" authorId="0" shapeId="0">
      <text>
        <t>FY2024: Source: see data_sources in inputs.json, accessed 2026-05-13</t>
      </text>
    </comment>
    <comment ref="F32" authorId="0" shapeId="0">
      <text>
        <t>FY2025: Source: see data_sources in inputs.json, accessed 2026-05-13</t>
      </text>
    </comment>
    <comment ref="B33" authorId="0" shapeId="0">
      <text>
        <t>FY2021: Source: see data_sources in inputs.json, accessed 2026-05-13</t>
      </text>
    </comment>
    <comment ref="C33" authorId="0" shapeId="0">
      <text>
        <t>FY2022: Source: see data_sources in inputs.json, accessed 2026-05-13</t>
      </text>
    </comment>
    <comment ref="D33" authorId="0" shapeId="0">
      <text>
        <t>FY2023: Source: see data_sources in inputs.json, accessed 2026-05-13</t>
      </text>
    </comment>
    <comment ref="E33" authorId="0" shapeId="0">
      <text>
        <t>FY2024: Source: see data_sources in inputs.json, accessed 2026-05-13</t>
      </text>
    </comment>
    <comment ref="F33" authorId="0" shapeId="0">
      <text>
        <t>FY2025: Source: see data_sources in inputs.json, accessed 2026-05-13</t>
      </text>
    </comment>
    <comment ref="B34" authorId="0" shapeId="0">
      <text>
        <t>FY2021: Source: see data_sources in inputs.json, accessed 2026-05-13</t>
      </text>
    </comment>
    <comment ref="C34" authorId="0" shapeId="0">
      <text>
        <t>FY2022: Source: see data_sources in inputs.json, accessed 2026-05-13</t>
      </text>
    </comment>
    <comment ref="D34" authorId="0" shapeId="0">
      <text>
        <t>FY2023: Source: see data_sources in inputs.json, accessed 2026-05-13</t>
      </text>
    </comment>
    <comment ref="E34" authorId="0" shapeId="0">
      <text>
        <t>FY2024: Source: see data_sources in inputs.json, accessed 2026-05-13</t>
      </text>
    </comment>
    <comment ref="F34" authorId="0" shapeId="0">
      <text>
        <t>FY2025: Source: see data_sources in inputs.json, accessed 2026-05-13</t>
      </text>
    </comment>
    <comment ref="B35" authorId="0" shapeId="0">
      <text>
        <t>FY2021: Source: see data_sources in inputs.json, accessed 2026-05-13</t>
      </text>
    </comment>
    <comment ref="C35" authorId="0" shapeId="0">
      <text>
        <t>FY2022: Source: see data_sources in inputs.json, accessed 2026-05-13</t>
      </text>
    </comment>
    <comment ref="D35" authorId="0" shapeId="0">
      <text>
        <t>FY2023: Source: see data_sources in inputs.json, accessed 2026-05-13</t>
      </text>
    </comment>
    <comment ref="E35" authorId="0" shapeId="0">
      <text>
        <t>FY2024: Source: see data_sources in inputs.json, accessed 2026-05-13</t>
      </text>
    </comment>
    <comment ref="F35" authorId="0" shapeId="0">
      <text>
        <t>FY2025: Source: see data_sources in inputs.json, accessed 2026-05-13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6"/>
  <sheetViews>
    <sheetView workbookViewId="0">
      <selection activeCell="A1" sqref="A1"/>
    </sheetView>
  </sheetViews>
  <sheetFormatPr baseColWidth="8" defaultRowHeight="15"/>
  <cols>
    <col width="4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INDITEX (ITX.MC) - DISCOUNTED CASH FLOW VALUATION</t>
        </is>
      </c>
    </row>
    <row r="2">
      <c r="A2" t="inlineStr">
        <is>
          <t>As of 2026-05-13 | All figures in EUR Millions except per-share | Fiscal year ends January 31</t>
        </is>
      </c>
    </row>
    <row r="3">
      <c r="A3" t="inlineStr">
        <is>
          <t>Base case: 10-year projection, WACC 8.26%, Terminal g 2.5%, Exit multiple 12.0x EV/EBITDA</t>
        </is>
      </c>
    </row>
    <row r="5">
      <c r="A5" s="2" t="inlineStr">
        <is>
          <t>MARKET DATA &amp; KEY INPUTS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</row>
    <row r="6">
      <c r="A6" s="3" t="inlineStr">
        <is>
          <t>Current share price (EUR)</t>
        </is>
      </c>
      <c r="C6" s="4" t="n">
        <v>48.55</v>
      </c>
    </row>
    <row r="7">
      <c r="A7" s="3" t="inlineStr">
        <is>
          <t>Shares outstanding (M)</t>
        </is>
      </c>
      <c r="C7" s="5" t="n">
        <v>3118</v>
      </c>
    </row>
    <row r="8">
      <c r="A8" s="3" t="inlineStr">
        <is>
          <t>Market capitalization (EUR M)</t>
        </is>
      </c>
      <c r="C8" s="5" t="n">
        <v>151378</v>
      </c>
    </row>
    <row r="9">
      <c r="A9" s="3" t="inlineStr">
        <is>
          <t>Cash and ST investments (EUR M)</t>
        </is>
      </c>
      <c r="C9" s="5" t="n">
        <v>10960</v>
      </c>
    </row>
    <row r="10">
      <c r="A10" s="3" t="inlineStr">
        <is>
          <t>Total financial debt (EUR M)</t>
        </is>
      </c>
      <c r="C10" s="5" t="n">
        <v>28</v>
      </c>
    </row>
    <row r="11">
      <c r="A11" s="3" t="inlineStr">
        <is>
          <t>Net cash (EUR M)</t>
        </is>
      </c>
      <c r="C11" s="5" t="n">
        <v>10932</v>
      </c>
    </row>
    <row r="12">
      <c r="A12" s="3" t="inlineStr">
        <is>
          <t>Enterprise value (EUR M)</t>
        </is>
      </c>
      <c r="C12" s="5" t="n">
        <v>140446</v>
      </c>
    </row>
    <row r="13">
      <c r="A13" s="3" t="inlineStr">
        <is>
          <t>Beta (5Y)</t>
        </is>
      </c>
      <c r="C13" s="4" t="n">
        <v>0.92</v>
      </c>
    </row>
    <row r="16">
      <c r="A16" s="2" t="inlineStr">
        <is>
          <t>WACC BUILD (CAPM)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</row>
    <row r="17">
      <c r="A17" s="3" t="inlineStr">
        <is>
          <t>Risk-free rate</t>
        </is>
      </c>
      <c r="C17" s="6" t="n">
        <v>0.032</v>
      </c>
    </row>
    <row r="18">
      <c r="A18" s="3" t="inlineStr">
        <is>
          <t>Equity risk premium</t>
        </is>
      </c>
      <c r="C18" s="6" t="n">
        <v>0.055</v>
      </c>
    </row>
    <row r="19">
      <c r="A19" s="3" t="inlineStr">
        <is>
          <t>Beta (5Y)</t>
        </is>
      </c>
      <c r="C19" s="4" t="n">
        <v>0.92</v>
      </c>
    </row>
    <row r="20">
      <c r="A20" s="7" t="inlineStr">
        <is>
          <t>Cost of equity = Rf + Beta * ERP</t>
        </is>
      </c>
      <c r="C20" s="8">
        <f>C17+C19*C18</f>
        <v/>
      </c>
    </row>
    <row r="21">
      <c r="A21" s="3" t="inlineStr">
        <is>
          <t>Pretax cost of debt</t>
        </is>
      </c>
      <c r="C21" s="6" t="n">
        <v>0.04</v>
      </c>
    </row>
    <row r="22">
      <c r="A22" s="3" t="inlineStr">
        <is>
          <t>Tax rate</t>
        </is>
      </c>
      <c r="C22" s="6" t="n">
        <v>0.22</v>
      </c>
    </row>
    <row r="23">
      <c r="A23" s="7" t="inlineStr">
        <is>
          <t>After-tax cost of debt</t>
        </is>
      </c>
      <c r="C23" s="8">
        <f>C21*(1-C22)</f>
        <v/>
      </c>
    </row>
    <row r="24">
      <c r="A24" s="9" t="inlineStr">
        <is>
          <t>WACC (Inditex has net cash position EUR 11B vs EUR 28M financial d)</t>
        </is>
      </c>
      <c r="C24" s="10">
        <f>C20</f>
        <v/>
      </c>
    </row>
    <row r="27">
      <c r="A27" s="2" t="inlineStr">
        <is>
          <t>HISTORICAL FINANCIALS (5Y)</t>
        </is>
      </c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</row>
    <row r="28">
      <c r="A28" s="11" t="inlineStr">
        <is>
          <t>Metric</t>
        </is>
      </c>
      <c r="B28" s="11" t="inlineStr">
        <is>
          <t>FY2021</t>
        </is>
      </c>
      <c r="C28" s="11" t="inlineStr">
        <is>
          <t>FY2022</t>
        </is>
      </c>
      <c r="D28" s="11" t="inlineStr">
        <is>
          <t>FY2023</t>
        </is>
      </c>
      <c r="E28" s="11" t="inlineStr">
        <is>
          <t>FY2024</t>
        </is>
      </c>
      <c r="F28" s="11" t="inlineStr">
        <is>
          <t>FY2025</t>
        </is>
      </c>
      <c r="G28" s="11" t="inlineStr">
        <is>
          <t>5Y CAGR</t>
        </is>
      </c>
    </row>
    <row r="29">
      <c r="A29" s="7" t="inlineStr">
        <is>
          <t>Revenue</t>
        </is>
      </c>
      <c r="B29" s="5" t="n">
        <v>27717</v>
      </c>
      <c r="C29" s="5" t="n">
        <v>32569</v>
      </c>
      <c r="D29" s="5" t="n">
        <v>35948</v>
      </c>
      <c r="E29" s="5" t="n">
        <v>38632</v>
      </c>
      <c r="F29" s="5" t="n">
        <v>39864</v>
      </c>
      <c r="G29" s="12">
        <f>(F29/B29)^(1/4)-1</f>
        <v/>
      </c>
    </row>
    <row r="30">
      <c r="A30" s="7" t="inlineStr">
        <is>
          <t>EBITDA</t>
        </is>
      </c>
      <c r="B30" s="5" t="n">
        <v>4407</v>
      </c>
      <c r="C30" s="5" t="n">
        <v>8419</v>
      </c>
      <c r="D30" s="5" t="n">
        <v>9850</v>
      </c>
      <c r="E30" s="5" t="n">
        <v>10584</v>
      </c>
      <c r="F30" s="5" t="n">
        <v>11268</v>
      </c>
      <c r="G30" s="12">
        <f>(F30/B30)^(1/4)-1</f>
        <v/>
      </c>
    </row>
    <row r="31">
      <c r="A31" s="7" t="inlineStr">
        <is>
          <t>EBIT</t>
        </is>
      </c>
      <c r="B31" s="5" t="n">
        <v>4282</v>
      </c>
      <c r="C31" s="5" t="n">
        <v>5520</v>
      </c>
      <c r="D31" s="5" t="n">
        <v>6809</v>
      </c>
      <c r="E31" s="5" t="n">
        <v>7340</v>
      </c>
      <c r="F31" s="5" t="n">
        <v>7997</v>
      </c>
      <c r="G31" s="12">
        <f>(F31/B31)^(1/4)-1</f>
        <v/>
      </c>
    </row>
    <row r="32">
      <c r="A32" s="7" t="inlineStr">
        <is>
          <t>D&amp;A</t>
        </is>
      </c>
      <c r="B32" s="5" t="n">
        <v>2848</v>
      </c>
      <c r="C32" s="5" t="n">
        <v>2899</v>
      </c>
      <c r="D32" s="5" t="n">
        <v>2994</v>
      </c>
      <c r="E32" s="5" t="n">
        <v>3100</v>
      </c>
      <c r="F32" s="5" t="n">
        <v>3222</v>
      </c>
      <c r="G32" s="12">
        <f>(F32/B32)^(1/4)-1</f>
        <v/>
      </c>
    </row>
    <row r="33">
      <c r="A33" s="7" t="inlineStr">
        <is>
          <t>CapEx</t>
        </is>
      </c>
      <c r="B33" s="5" t="n">
        <v>99</v>
      </c>
      <c r="C33" s="5" t="n">
        <v>1415</v>
      </c>
      <c r="D33" s="5" t="n">
        <v>1872</v>
      </c>
      <c r="E33" s="5" t="n">
        <v>2400</v>
      </c>
      <c r="F33" s="5" t="n">
        <v>2712</v>
      </c>
      <c r="G33" s="12">
        <f>(F33/B33)^(1/4)-1</f>
        <v/>
      </c>
    </row>
    <row r="34">
      <c r="A34" s="7" t="inlineStr">
        <is>
          <t>FCF</t>
        </is>
      </c>
      <c r="B34" s="5" t="n">
        <v>1481</v>
      </c>
      <c r="C34" s="5" t="n">
        <v>5259</v>
      </c>
      <c r="D34" s="5" t="n">
        <v>6795</v>
      </c>
      <c r="E34" s="5" t="n">
        <v>6600</v>
      </c>
      <c r="F34" s="5" t="n">
        <v>6520</v>
      </c>
      <c r="G34" s="12">
        <f>(F34/B34)^(1/4)-1</f>
        <v/>
      </c>
    </row>
    <row r="35">
      <c r="A35" s="7" t="inlineStr">
        <is>
          <t>Net Income</t>
        </is>
      </c>
      <c r="B35" s="5" t="n">
        <v>3243</v>
      </c>
      <c r="C35" s="5" t="n">
        <v>4130</v>
      </c>
      <c r="D35" s="5" t="n">
        <v>5381</v>
      </c>
      <c r="E35" s="5" t="n">
        <v>5690</v>
      </c>
      <c r="F35" s="5" t="n">
        <v>6220</v>
      </c>
      <c r="G35" s="12">
        <f>(F35/B35)^(1/4)-1</f>
        <v/>
      </c>
    </row>
    <row r="36">
      <c r="A36" s="13" t="inlineStr">
        <is>
          <t>EBITDA margin</t>
        </is>
      </c>
      <c r="B36" s="14">
        <f>B30/B29</f>
        <v/>
      </c>
      <c r="C36" s="14">
        <f>C30/C29</f>
        <v/>
      </c>
      <c r="D36" s="14">
        <f>D30/D29</f>
        <v/>
      </c>
      <c r="E36" s="14">
        <f>E30/E29</f>
        <v/>
      </c>
      <c r="F36" s="14">
        <f>F30/F29</f>
        <v/>
      </c>
    </row>
    <row r="37">
      <c r="A37" s="13" t="inlineStr">
        <is>
          <t>FCF margin</t>
        </is>
      </c>
      <c r="B37" s="14">
        <f>B34/B29</f>
        <v/>
      </c>
      <c r="C37" s="14">
        <f>C34/C29</f>
        <v/>
      </c>
      <c r="D37" s="14">
        <f>D34/D29</f>
        <v/>
      </c>
      <c r="E37" s="14">
        <f>E34/E29</f>
        <v/>
      </c>
      <c r="F37" s="14">
        <f>F34/F29</f>
        <v/>
      </c>
    </row>
    <row r="40">
      <c r="A40" s="2" t="inlineStr">
        <is>
          <t>PROJECTION - BASE CASE (10Y EXPLICIT)</t>
        </is>
      </c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</row>
    <row r="41">
      <c r="A41" s="11" t="inlineStr">
        <is>
          <t>Metric</t>
        </is>
      </c>
      <c r="B41" s="11" t="inlineStr">
        <is>
          <t>Y1</t>
        </is>
      </c>
      <c r="C41" s="11" t="inlineStr">
        <is>
          <t>Y2</t>
        </is>
      </c>
      <c r="D41" s="11" t="inlineStr">
        <is>
          <t>Y3</t>
        </is>
      </c>
      <c r="E41" s="11" t="inlineStr">
        <is>
          <t>Y4</t>
        </is>
      </c>
      <c r="F41" s="11" t="inlineStr">
        <is>
          <t>Y5</t>
        </is>
      </c>
      <c r="G41" s="11" t="inlineStr">
        <is>
          <t>Y6</t>
        </is>
      </c>
      <c r="H41" s="11" t="inlineStr">
        <is>
          <t>Y7</t>
        </is>
      </c>
      <c r="I41" s="11" t="inlineStr">
        <is>
          <t>Y8</t>
        </is>
      </c>
      <c r="J41" s="11" t="inlineStr">
        <is>
          <t>Y9</t>
        </is>
      </c>
      <c r="K41" s="11" t="inlineStr">
        <is>
          <t>Y10</t>
        </is>
      </c>
      <c r="L41" s="11" t="inlineStr">
        <is>
          <t>Sum</t>
        </is>
      </c>
    </row>
    <row r="42">
      <c r="A42" s="3" t="inlineStr">
        <is>
          <t>Revenue growth %</t>
        </is>
      </c>
      <c r="B42" s="15" t="n">
        <v>0.07000000000000001</v>
      </c>
      <c r="C42" s="15" t="n">
        <v>0.06</v>
      </c>
      <c r="D42" s="15" t="n">
        <v>0.06</v>
      </c>
      <c r="E42" s="15" t="n">
        <v>0.05</v>
      </c>
      <c r="F42" s="15" t="n">
        <v>0.05</v>
      </c>
      <c r="G42" s="15" t="n">
        <v>0.04</v>
      </c>
      <c r="H42" s="15" t="n">
        <v>0.04</v>
      </c>
      <c r="I42" s="15" t="n">
        <v>0.035</v>
      </c>
      <c r="J42" s="15" t="n">
        <v>0.03</v>
      </c>
      <c r="K42" s="15" t="n">
        <v>0.025</v>
      </c>
    </row>
    <row r="43">
      <c r="A43" s="7" t="inlineStr">
        <is>
          <t>Revenue (EUR M)</t>
        </is>
      </c>
      <c r="B43" s="16">
        <f>F29*(1+B42)</f>
        <v/>
      </c>
      <c r="C43" s="16">
        <f>B43*(1+C42)</f>
        <v/>
      </c>
      <c r="D43" s="16">
        <f>C43*(1+D42)</f>
        <v/>
      </c>
      <c r="E43" s="16">
        <f>D43*(1+E42)</f>
        <v/>
      </c>
      <c r="F43" s="16">
        <f>E43*(1+F42)</f>
        <v/>
      </c>
      <c r="G43" s="16">
        <f>F43*(1+G42)</f>
        <v/>
      </c>
      <c r="H43" s="16">
        <f>G43*(1+H42)</f>
        <v/>
      </c>
      <c r="I43" s="16">
        <f>H43*(1+I42)</f>
        <v/>
      </c>
      <c r="J43" s="16">
        <f>I43*(1+J42)</f>
        <v/>
      </c>
      <c r="K43" s="16">
        <f>J43*(1+K42)</f>
        <v/>
      </c>
    </row>
    <row r="44">
      <c r="A44" s="3" t="inlineStr">
        <is>
          <t>EBITDA margin %</t>
        </is>
      </c>
      <c r="B44" s="15" t="n">
        <v>0.285</v>
      </c>
      <c r="C44" s="15" t="n">
        <v>0.285</v>
      </c>
      <c r="D44" s="15" t="n">
        <v>0.285</v>
      </c>
      <c r="E44" s="15" t="n">
        <v>0.285</v>
      </c>
      <c r="F44" s="15" t="n">
        <v>0.285</v>
      </c>
      <c r="G44" s="15" t="n">
        <v>0.285</v>
      </c>
      <c r="H44" s="15" t="n">
        <v>0.285</v>
      </c>
      <c r="I44" s="15" t="n">
        <v>0.285</v>
      </c>
      <c r="J44" s="15" t="n">
        <v>0.285</v>
      </c>
      <c r="K44" s="15" t="n">
        <v>0.285</v>
      </c>
    </row>
    <row r="45">
      <c r="A45" s="7" t="inlineStr">
        <is>
          <t>EBITDA</t>
        </is>
      </c>
      <c r="B45" s="16">
        <f>B43*B44</f>
        <v/>
      </c>
      <c r="C45" s="16">
        <f>C43*C44</f>
        <v/>
      </c>
      <c r="D45" s="16">
        <f>D43*D44</f>
        <v/>
      </c>
      <c r="E45" s="16">
        <f>E43*E44</f>
        <v/>
      </c>
      <c r="F45" s="16">
        <f>F43*F44</f>
        <v/>
      </c>
      <c r="G45" s="16">
        <f>G43*G44</f>
        <v/>
      </c>
      <c r="H45" s="16">
        <f>H43*H44</f>
        <v/>
      </c>
      <c r="I45" s="16">
        <f>I43*I44</f>
        <v/>
      </c>
      <c r="J45" s="16">
        <f>J43*J44</f>
        <v/>
      </c>
      <c r="K45" s="16">
        <f>K43*K44</f>
        <v/>
      </c>
    </row>
    <row r="46">
      <c r="A46" s="3" t="inlineStr">
        <is>
          <t>D&amp;A % of revenue</t>
        </is>
      </c>
      <c r="B46" s="15" t="n">
        <v>0.08</v>
      </c>
      <c r="C46" s="15" t="n">
        <v>0.08</v>
      </c>
      <c r="D46" s="15" t="n">
        <v>0.08</v>
      </c>
      <c r="E46" s="15" t="n">
        <v>0.08</v>
      </c>
      <c r="F46" s="15" t="n">
        <v>0.08</v>
      </c>
      <c r="G46" s="15" t="n">
        <v>0.08</v>
      </c>
      <c r="H46" s="15" t="n">
        <v>0.08</v>
      </c>
      <c r="I46" s="15" t="n">
        <v>0.08</v>
      </c>
      <c r="J46" s="15" t="n">
        <v>0.08</v>
      </c>
      <c r="K46" s="15" t="n">
        <v>0.08</v>
      </c>
    </row>
    <row r="47">
      <c r="A47" s="3" t="inlineStr">
        <is>
          <t>D&amp;A</t>
        </is>
      </c>
      <c r="B47" s="17">
        <f>B43*B46</f>
        <v/>
      </c>
      <c r="C47" s="17">
        <f>C43*C46</f>
        <v/>
      </c>
      <c r="D47" s="17">
        <f>D43*D46</f>
        <v/>
      </c>
      <c r="E47" s="17">
        <f>E43*E46</f>
        <v/>
      </c>
      <c r="F47" s="17">
        <f>F43*F46</f>
        <v/>
      </c>
      <c r="G47" s="17">
        <f>G43*G46</f>
        <v/>
      </c>
      <c r="H47" s="17">
        <f>H43*H46</f>
        <v/>
      </c>
      <c r="I47" s="17">
        <f>I43*I46</f>
        <v/>
      </c>
      <c r="J47" s="17">
        <f>J43*J46</f>
        <v/>
      </c>
      <c r="K47" s="17">
        <f>K43*K46</f>
        <v/>
      </c>
    </row>
    <row r="48">
      <c r="A48" s="3" t="inlineStr">
        <is>
          <t>EBIT (= EBITDA - D&amp;A)</t>
        </is>
      </c>
      <c r="B48" s="17">
        <f>B45-B47</f>
        <v/>
      </c>
      <c r="C48" s="17">
        <f>C45-C47</f>
        <v/>
      </c>
      <c r="D48" s="17">
        <f>D45-D47</f>
        <v/>
      </c>
      <c r="E48" s="17">
        <f>E45-E47</f>
        <v/>
      </c>
      <c r="F48" s="17">
        <f>F45-F47</f>
        <v/>
      </c>
      <c r="G48" s="17">
        <f>G45-G47</f>
        <v/>
      </c>
      <c r="H48" s="17">
        <f>H45-H47</f>
        <v/>
      </c>
      <c r="I48" s="17">
        <f>I45-I47</f>
        <v/>
      </c>
      <c r="J48" s="17">
        <f>J45-J47</f>
        <v/>
      </c>
      <c r="K48" s="17">
        <f>K45-K47</f>
        <v/>
      </c>
    </row>
    <row r="49">
      <c r="A49" s="3" t="inlineStr">
        <is>
          <t>NOPAT (= EBIT * (1-tax))</t>
        </is>
      </c>
      <c r="B49" s="17">
        <f>B48*(1-$C$22)</f>
        <v/>
      </c>
      <c r="C49" s="17">
        <f>C48*(1-$C$22)</f>
        <v/>
      </c>
      <c r="D49" s="17">
        <f>D48*(1-$C$22)</f>
        <v/>
      </c>
      <c r="E49" s="17">
        <f>E48*(1-$C$22)</f>
        <v/>
      </c>
      <c r="F49" s="17">
        <f>F48*(1-$C$22)</f>
        <v/>
      </c>
      <c r="G49" s="17">
        <f>G48*(1-$C$22)</f>
        <v/>
      </c>
      <c r="H49" s="17">
        <f>H48*(1-$C$22)</f>
        <v/>
      </c>
      <c r="I49" s="17">
        <f>I48*(1-$C$22)</f>
        <v/>
      </c>
      <c r="J49" s="17">
        <f>J48*(1-$C$22)</f>
        <v/>
      </c>
      <c r="K49" s="17">
        <f>K48*(1-$C$22)</f>
        <v/>
      </c>
    </row>
    <row r="50">
      <c r="A50" s="3" t="inlineStr">
        <is>
          <t>CapEx % of revenue</t>
        </is>
      </c>
      <c r="B50" s="15" t="n">
        <v>0.07000000000000001</v>
      </c>
      <c r="C50" s="15" t="n">
        <v>0.07000000000000001</v>
      </c>
      <c r="D50" s="15" t="n">
        <v>0.065</v>
      </c>
      <c r="E50" s="15" t="n">
        <v>0.065</v>
      </c>
      <c r="F50" s="15" t="n">
        <v>0.06</v>
      </c>
      <c r="G50" s="15" t="n">
        <v>0.06</v>
      </c>
      <c r="H50" s="15" t="n">
        <v>0.055</v>
      </c>
      <c r="I50" s="15" t="n">
        <v>0.055</v>
      </c>
      <c r="J50" s="15" t="n">
        <v>0.05</v>
      </c>
      <c r="K50" s="15" t="n">
        <v>0.05</v>
      </c>
    </row>
    <row r="51">
      <c r="A51" s="3" t="inlineStr">
        <is>
          <t>CapEx</t>
        </is>
      </c>
      <c r="B51" s="17">
        <f>B43*B50</f>
        <v/>
      </c>
      <c r="C51" s="17">
        <f>C43*C50</f>
        <v/>
      </c>
      <c r="D51" s="17">
        <f>D43*D50</f>
        <v/>
      </c>
      <c r="E51" s="17">
        <f>E43*E50</f>
        <v/>
      </c>
      <c r="F51" s="17">
        <f>F43*F50</f>
        <v/>
      </c>
      <c r="G51" s="17">
        <f>G43*G50</f>
        <v/>
      </c>
      <c r="H51" s="17">
        <f>H43*H50</f>
        <v/>
      </c>
      <c r="I51" s="17">
        <f>I43*I50</f>
        <v/>
      </c>
      <c r="J51" s="17">
        <f>J43*J50</f>
        <v/>
      </c>
      <c r="K51" s="17">
        <f>K43*K50</f>
        <v/>
      </c>
    </row>
    <row r="52">
      <c r="A52" s="3" t="inlineStr">
        <is>
          <t>Change in NWC (-2.0% of Δrev)</t>
        </is>
      </c>
      <c r="B52" s="17">
        <f>(B43-F29)*-0.02</f>
        <v/>
      </c>
      <c r="C52" s="17">
        <f>(C43-B43)*-0.02</f>
        <v/>
      </c>
      <c r="D52" s="17">
        <f>(D43-C43)*-0.02</f>
        <v/>
      </c>
      <c r="E52" s="17">
        <f>(E43-D43)*-0.02</f>
        <v/>
      </c>
      <c r="F52" s="17">
        <f>(F43-E43)*-0.02</f>
        <v/>
      </c>
      <c r="G52" s="17">
        <f>(G43-F43)*-0.02</f>
        <v/>
      </c>
      <c r="H52" s="17">
        <f>(H43-G43)*-0.02</f>
        <v/>
      </c>
      <c r="I52" s="17">
        <f>(I43-H43)*-0.02</f>
        <v/>
      </c>
      <c r="J52" s="17">
        <f>(J43-I43)*-0.02</f>
        <v/>
      </c>
      <c r="K52" s="17">
        <f>(K43-J43)*-0.02</f>
        <v/>
      </c>
    </row>
    <row r="53">
      <c r="A53" s="9" t="inlineStr">
        <is>
          <t>Unlevered FCF (= NOPAT + D&amp;A - CapEx - ΔNWC)</t>
        </is>
      </c>
      <c r="B53" s="18">
        <f>B49+B47-B51-B52</f>
        <v/>
      </c>
      <c r="C53" s="18">
        <f>C49+C47-C51-C52</f>
        <v/>
      </c>
      <c r="D53" s="18">
        <f>D49+D47-D51-D52</f>
        <v/>
      </c>
      <c r="E53" s="18">
        <f>E49+E47-E51-E52</f>
        <v/>
      </c>
      <c r="F53" s="18">
        <f>F49+F47-F51-F52</f>
        <v/>
      </c>
      <c r="G53" s="18">
        <f>G49+G47-G51-G52</f>
        <v/>
      </c>
      <c r="H53" s="18">
        <f>H49+H47-H51-H52</f>
        <v/>
      </c>
      <c r="I53" s="18">
        <f>I49+I47-I51-I52</f>
        <v/>
      </c>
      <c r="J53" s="18">
        <f>J49+J47-J51-J52</f>
        <v/>
      </c>
      <c r="K53" s="18">
        <f>K49+K47-K51-K52</f>
        <v/>
      </c>
    </row>
    <row r="54">
      <c r="A54" s="3" t="inlineStr">
        <is>
          <t>Discount period (mid-year)</t>
        </is>
      </c>
      <c r="B54" s="19" t="n">
        <v>0.5</v>
      </c>
      <c r="C54" s="19" t="n">
        <v>1.5</v>
      </c>
      <c r="D54" s="19" t="n">
        <v>2.5</v>
      </c>
      <c r="E54" s="19" t="n">
        <v>3.5</v>
      </c>
      <c r="F54" s="19" t="n">
        <v>4.5</v>
      </c>
      <c r="G54" s="19" t="n">
        <v>5.5</v>
      </c>
      <c r="H54" s="19" t="n">
        <v>6.5</v>
      </c>
      <c r="I54" s="19" t="n">
        <v>7.5</v>
      </c>
      <c r="J54" s="19" t="n">
        <v>8.5</v>
      </c>
      <c r="K54" s="19" t="n">
        <v>9.5</v>
      </c>
    </row>
    <row r="55">
      <c r="A55" s="3" t="inlineStr">
        <is>
          <t>Discount factor</t>
        </is>
      </c>
      <c r="B55" s="20">
        <f>1/((1+$C$24)^B54)</f>
        <v/>
      </c>
      <c r="C55" s="20">
        <f>1/((1+$C$24)^C54)</f>
        <v/>
      </c>
      <c r="D55" s="20">
        <f>1/((1+$C$24)^D54)</f>
        <v/>
      </c>
      <c r="E55" s="20">
        <f>1/((1+$C$24)^E54)</f>
        <v/>
      </c>
      <c r="F55" s="20">
        <f>1/((1+$C$24)^F54)</f>
        <v/>
      </c>
      <c r="G55" s="20">
        <f>1/((1+$C$24)^G54)</f>
        <v/>
      </c>
      <c r="H55" s="20">
        <f>1/((1+$C$24)^H54)</f>
        <v/>
      </c>
      <c r="I55" s="20">
        <f>1/((1+$C$24)^I54)</f>
        <v/>
      </c>
      <c r="J55" s="20">
        <f>1/((1+$C$24)^J54)</f>
        <v/>
      </c>
      <c r="K55" s="20">
        <f>1/((1+$C$24)^K54)</f>
        <v/>
      </c>
    </row>
    <row r="56">
      <c r="A56" s="9" t="inlineStr">
        <is>
          <t>PV of FCF</t>
        </is>
      </c>
      <c r="B56" s="18">
        <f>B53*B55</f>
        <v/>
      </c>
      <c r="C56" s="18">
        <f>C53*C55</f>
        <v/>
      </c>
      <c r="D56" s="18">
        <f>D53*D55</f>
        <v/>
      </c>
      <c r="E56" s="18">
        <f>E53*E55</f>
        <v/>
      </c>
      <c r="F56" s="18">
        <f>F53*F55</f>
        <v/>
      </c>
      <c r="G56" s="18">
        <f>G53*G55</f>
        <v/>
      </c>
      <c r="H56" s="18">
        <f>H53*H55</f>
        <v/>
      </c>
      <c r="I56" s="18">
        <f>I53*I55</f>
        <v/>
      </c>
      <c r="J56" s="18">
        <f>J53*J55</f>
        <v/>
      </c>
      <c r="K56" s="18">
        <f>K53*K55</f>
        <v/>
      </c>
      <c r="L56" s="18">
        <f>SUM(B56:K56)</f>
        <v/>
      </c>
    </row>
    <row r="58">
      <c r="A58" s="2" t="inlineStr">
        <is>
          <t>TERMINAL VALUE &amp; EQUITY BRIDGE</t>
        </is>
      </c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</row>
    <row r="59">
      <c r="A59" s="3" t="inlineStr">
        <is>
          <t>Final year FCF (Y10)</t>
        </is>
      </c>
      <c r="C59" s="17">
        <f>K53</f>
        <v/>
      </c>
    </row>
    <row r="60">
      <c r="A60" s="3" t="inlineStr">
        <is>
          <t>Final year EBITDA (Y10)</t>
        </is>
      </c>
      <c r="C60" s="17">
        <f>K45</f>
        <v/>
      </c>
    </row>
    <row r="61">
      <c r="A61" s="3" t="inlineStr">
        <is>
          <t>Terminal growth rate</t>
        </is>
      </c>
      <c r="C61" s="15" t="n">
        <v>0.025</v>
      </c>
    </row>
    <row r="62">
      <c r="A62" s="3" t="inlineStr">
        <is>
          <t>Exit multiple (EV/EBITDA)</t>
        </is>
      </c>
      <c r="C62" s="21" t="n">
        <v>12</v>
      </c>
    </row>
    <row r="63">
      <c r="A63" s="3" t="inlineStr">
        <is>
          <t>Terminal Value (perpetuity, gross)</t>
        </is>
      </c>
      <c r="C63" s="17">
        <f>C59*(1+C61)/($C$24-C61)</f>
        <v/>
      </c>
    </row>
    <row r="64">
      <c r="A64" s="3" t="inlineStr">
        <is>
          <t>Terminal Value (exit multiple, gross)</t>
        </is>
      </c>
      <c r="C64" s="17">
        <f>C60*C62</f>
        <v/>
      </c>
    </row>
    <row r="65">
      <c r="A65" s="7" t="inlineStr">
        <is>
          <t>PV of Terminal (blended avg)</t>
        </is>
      </c>
      <c r="C65" s="16">
        <f>AVERAGE(C63,C64)/((1+$C$24)^K54)</f>
        <v/>
      </c>
    </row>
    <row r="67">
      <c r="A67" s="7" t="inlineStr">
        <is>
          <t>Sum PV FCFs (Y1-Y10)</t>
        </is>
      </c>
      <c r="C67" s="16">
        <f>L56</f>
        <v/>
      </c>
    </row>
    <row r="68">
      <c r="A68" s="9" t="inlineStr">
        <is>
          <t>Enterprise Value</t>
        </is>
      </c>
      <c r="C68" s="18">
        <f>C67+C65</f>
        <v/>
      </c>
    </row>
    <row r="69">
      <c r="A69" s="3" t="inlineStr">
        <is>
          <t>Net cash (add back)</t>
        </is>
      </c>
      <c r="C69" s="17">
        <f>C11</f>
        <v/>
      </c>
    </row>
    <row r="70">
      <c r="A70" s="9" t="inlineStr">
        <is>
          <t>Equity Value</t>
        </is>
      </c>
      <c r="C70" s="18">
        <f>C68+C69</f>
        <v/>
      </c>
    </row>
    <row r="71">
      <c r="A71" s="3" t="inlineStr">
        <is>
          <t>Shares outstanding (M)</t>
        </is>
      </c>
      <c r="C71" s="17">
        <f>C7</f>
        <v/>
      </c>
    </row>
    <row r="72">
      <c r="A72" s="22" t="inlineStr">
        <is>
          <t>IMPLIED SHARE PRICE (EUR)</t>
        </is>
      </c>
      <c r="C72" s="23">
        <f>C70/C71</f>
        <v/>
      </c>
    </row>
    <row r="73">
      <c r="A73" s="3" t="inlineStr">
        <is>
          <t>Current market price (EUR)</t>
        </is>
      </c>
      <c r="C73" s="24">
        <f>C6</f>
        <v/>
      </c>
    </row>
    <row r="74">
      <c r="A74" s="22" t="inlineStr">
        <is>
          <t>Upside / (Downside) vs market</t>
        </is>
      </c>
      <c r="C74" s="25">
        <f>C72/C73-1</f>
        <v/>
      </c>
    </row>
    <row r="75">
      <c r="A75" s="3" t="inlineStr">
        <is>
          <t>Terminal % of EV (sanity 50-70%)</t>
        </is>
      </c>
      <c r="C75" s="12">
        <f>C65/C68</f>
        <v/>
      </c>
    </row>
    <row r="76">
      <c r="A76" s="3" t="inlineStr">
        <is>
          <t>Implied EV/EBITDA (current EBITDA)</t>
        </is>
      </c>
      <c r="C76" s="26">
        <f>C68/F30</f>
        <v/>
      </c>
    </row>
    <row r="79">
      <c r="A79" s="2" t="inlineStr">
        <is>
          <t>SENSITIVITY: IMPLIED SHARE PRICE - WACC vs TERMINAL GROWTH</t>
        </is>
      </c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</row>
    <row r="80">
      <c r="A80" s="27" t="inlineStr">
        <is>
          <t>Terminal g \ WACC</t>
        </is>
      </c>
      <c r="B80" s="10" t="n">
        <v>0.065</v>
      </c>
      <c r="C80" s="10" t="n">
        <v>0.07000000000000001</v>
      </c>
      <c r="D80" s="10" t="n">
        <v>0.075</v>
      </c>
      <c r="E80" s="10" t="n">
        <v>0.08</v>
      </c>
      <c r="F80" s="10" t="n">
        <v>0.08500000000000001</v>
      </c>
      <c r="G80" s="10" t="n">
        <v>0.09</v>
      </c>
      <c r="H80" s="10" t="n">
        <v>0.095</v>
      </c>
    </row>
    <row r="81">
      <c r="A81" s="10" t="n">
        <v>0.01</v>
      </c>
      <c r="B81" s="24">
        <f>((K53*(1+0.01))/(0.065-0.01)/((1+0.065)^9.5) + C67 + C11)/C7</f>
        <v/>
      </c>
      <c r="C81" s="24">
        <f>((K53*(1+0.01))/(0.07-0.01)/((1+0.07)^9.5) + C67 + C11)/C7</f>
        <v/>
      </c>
      <c r="D81" s="24">
        <f>((K53*(1+0.01))/(0.075-0.01)/((1+0.075)^9.5) + C67 + C11)/C7</f>
        <v/>
      </c>
      <c r="E81" s="24">
        <f>((K53*(1+0.01))/(0.08-0.01)/((1+0.08)^9.5) + C67 + C11)/C7</f>
        <v/>
      </c>
      <c r="F81" s="24">
        <f>((K53*(1+0.01))/(0.085-0.01)/((1+0.085)^9.5) + C67 + C11)/C7</f>
        <v/>
      </c>
      <c r="G81" s="24">
        <f>((K53*(1+0.01))/(0.09-0.01)/((1+0.09)^9.5) + C67 + C11)/C7</f>
        <v/>
      </c>
      <c r="H81" s="24">
        <f>((K53*(1+0.01))/(0.095-0.01)/((1+0.095)^9.5) + C67 + C11)/C7</f>
        <v/>
      </c>
    </row>
    <row r="82">
      <c r="A82" s="10" t="n">
        <v>0.015</v>
      </c>
      <c r="B82" s="24">
        <f>((K53*(1+0.015))/(0.065-0.015)/((1+0.065)^9.5) + C67 + C11)/C7</f>
        <v/>
      </c>
      <c r="C82" s="24">
        <f>((K53*(1+0.015))/(0.07-0.015)/((1+0.07)^9.5) + C67 + C11)/C7</f>
        <v/>
      </c>
      <c r="D82" s="24">
        <f>((K53*(1+0.015))/(0.075-0.015)/((1+0.075)^9.5) + C67 + C11)/C7</f>
        <v/>
      </c>
      <c r="E82" s="24">
        <f>((K53*(1+0.015))/(0.08-0.015)/((1+0.08)^9.5) + C67 + C11)/C7</f>
        <v/>
      </c>
      <c r="F82" s="24">
        <f>((K53*(1+0.015))/(0.085-0.015)/((1+0.085)^9.5) + C67 + C11)/C7</f>
        <v/>
      </c>
      <c r="G82" s="24">
        <f>((K53*(1+0.015))/(0.09-0.015)/((1+0.09)^9.5) + C67 + C11)/C7</f>
        <v/>
      </c>
      <c r="H82" s="24">
        <f>((K53*(1+0.015))/(0.095-0.015)/((1+0.095)^9.5) + C67 + C11)/C7</f>
        <v/>
      </c>
    </row>
    <row r="83">
      <c r="A83" s="10" t="n">
        <v>0.02</v>
      </c>
      <c r="B83" s="24">
        <f>((K53*(1+0.02))/(0.065-0.02)/((1+0.065)^9.5) + C67 + C11)/C7</f>
        <v/>
      </c>
      <c r="C83" s="24">
        <f>((K53*(1+0.02))/(0.07-0.02)/((1+0.07)^9.5) + C67 + C11)/C7</f>
        <v/>
      </c>
      <c r="D83" s="24">
        <f>((K53*(1+0.02))/(0.075-0.02)/((1+0.075)^9.5) + C67 + C11)/C7</f>
        <v/>
      </c>
      <c r="E83" s="24">
        <f>((K53*(1+0.02))/(0.08-0.02)/((1+0.08)^9.5) + C67 + C11)/C7</f>
        <v/>
      </c>
      <c r="F83" s="24">
        <f>((K53*(1+0.02))/(0.085-0.02)/((1+0.085)^9.5) + C67 + C11)/C7</f>
        <v/>
      </c>
      <c r="G83" s="24">
        <f>((K53*(1+0.02))/(0.09-0.02)/((1+0.09)^9.5) + C67 + C11)/C7</f>
        <v/>
      </c>
      <c r="H83" s="24">
        <f>((K53*(1+0.02))/(0.095-0.02)/((1+0.095)^9.5) + C67 + C11)/C7</f>
        <v/>
      </c>
    </row>
    <row r="84">
      <c r="A84" s="10" t="n">
        <v>0.025</v>
      </c>
      <c r="B84" s="24">
        <f>((K53*(1+0.025))/(0.065-0.025)/((1+0.065)^9.5) + C67 + C11)/C7</f>
        <v/>
      </c>
      <c r="C84" s="24">
        <f>((K53*(1+0.025))/(0.07-0.025)/((1+0.07)^9.5) + C67 + C11)/C7</f>
        <v/>
      </c>
      <c r="D84" s="24">
        <f>((K53*(1+0.025))/(0.075-0.025)/((1+0.075)^9.5) + C67 + C11)/C7</f>
        <v/>
      </c>
      <c r="E84" s="23">
        <f>((K53*(1+0.025))/(0.08-0.025)/((1+0.08)^9.5) + C67 + C11)/C7</f>
        <v/>
      </c>
      <c r="F84" s="23">
        <f>((K53*(1+0.025))/(0.085-0.025)/((1+0.085)^9.5) + C67 + C11)/C7</f>
        <v/>
      </c>
      <c r="G84" s="24">
        <f>((K53*(1+0.025))/(0.09-0.025)/((1+0.09)^9.5) + C67 + C11)/C7</f>
        <v/>
      </c>
      <c r="H84" s="24">
        <f>((K53*(1+0.025))/(0.095-0.025)/((1+0.095)^9.5) + C67 + C11)/C7</f>
        <v/>
      </c>
    </row>
    <row r="85">
      <c r="A85" s="10" t="n">
        <v>0.03</v>
      </c>
      <c r="B85" s="24">
        <f>((K53*(1+0.03))/(0.065-0.03)/((1+0.065)^9.5) + C67 + C11)/C7</f>
        <v/>
      </c>
      <c r="C85" s="24">
        <f>((K53*(1+0.03))/(0.07-0.03)/((1+0.07)^9.5) + C67 + C11)/C7</f>
        <v/>
      </c>
      <c r="D85" s="24">
        <f>((K53*(1+0.03))/(0.075-0.03)/((1+0.075)^9.5) + C67 + C11)/C7</f>
        <v/>
      </c>
      <c r="E85" s="24">
        <f>((K53*(1+0.03))/(0.08-0.03)/((1+0.08)^9.5) + C67 + C11)/C7</f>
        <v/>
      </c>
      <c r="F85" s="24">
        <f>((K53*(1+0.03))/(0.085-0.03)/((1+0.085)^9.5) + C67 + C11)/C7</f>
        <v/>
      </c>
      <c r="G85" s="24">
        <f>((K53*(1+0.03))/(0.09-0.03)/((1+0.09)^9.5) + C67 + C11)/C7</f>
        <v/>
      </c>
      <c r="H85" s="24">
        <f>((K53*(1+0.03))/(0.095-0.03)/((1+0.095)^9.5) + C67 + C11)/C7</f>
        <v/>
      </c>
    </row>
    <row r="86">
      <c r="A86" s="10" t="n">
        <v>0.035</v>
      </c>
      <c r="B86" s="24">
        <f>((K53*(1+0.035))/(0.065-0.035)/((1+0.065)^9.5) + C67 + C11)/C7</f>
        <v/>
      </c>
      <c r="C86" s="24">
        <f>((K53*(1+0.035))/(0.07-0.035)/((1+0.07)^9.5) + C67 + C11)/C7</f>
        <v/>
      </c>
      <c r="D86" s="24">
        <f>((K53*(1+0.035))/(0.075-0.035)/((1+0.075)^9.5) + C67 + C11)/C7</f>
        <v/>
      </c>
      <c r="E86" s="24">
        <f>((K53*(1+0.035))/(0.08-0.035)/((1+0.08)^9.5) + C67 + C11)/C7</f>
        <v/>
      </c>
      <c r="F86" s="24">
        <f>((K53*(1+0.035))/(0.085-0.035)/((1+0.085)^9.5) + C67 + C11)/C7</f>
        <v/>
      </c>
      <c r="G86" s="24">
        <f>((K53*(1+0.035))/(0.09-0.035)/((1+0.09)^9.5) + C67 + C11)/C7</f>
        <v/>
      </c>
      <c r="H86" s="24">
        <f>((K53*(1+0.035))/(0.095-0.035)/((1+0.095)^9.5) + C67 + C11)/C7</f>
        <v/>
      </c>
    </row>
    <row r="87">
      <c r="A87" s="10" t="n">
        <v>0.04</v>
      </c>
      <c r="B87" s="24">
        <f>((K53*(1+0.04))/(0.065-0.04)/((1+0.065)^9.5) + C67 + C11)/C7</f>
        <v/>
      </c>
      <c r="C87" s="24">
        <f>((K53*(1+0.04))/(0.07-0.04)/((1+0.07)^9.5) + C67 + C11)/C7</f>
        <v/>
      </c>
      <c r="D87" s="24">
        <f>((K53*(1+0.04))/(0.075-0.04)/((1+0.075)^9.5) + C67 + C11)/C7</f>
        <v/>
      </c>
      <c r="E87" s="24">
        <f>((K53*(1+0.04))/(0.08-0.04)/((1+0.08)^9.5) + C67 + C11)/C7</f>
        <v/>
      </c>
      <c r="F87" s="24">
        <f>((K53*(1+0.04))/(0.085-0.04)/((1+0.085)^9.5) + C67 + C11)/C7</f>
        <v/>
      </c>
      <c r="G87" s="24">
        <f>((K53*(1+0.04))/(0.09-0.04)/((1+0.09)^9.5) + C67 + C11)/C7</f>
        <v/>
      </c>
      <c r="H87" s="24">
        <f>((K53*(1+0.04))/(0.095-0.04)/((1+0.095)^9.5) + C67 + C11)/C7</f>
        <v/>
      </c>
    </row>
    <row r="90">
      <c r="A90" s="2" t="inlineStr">
        <is>
          <t>SCENARIO SUMMARY - Bear / Base / Bull</t>
        </is>
      </c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</row>
    <row r="91">
      <c r="A91" s="11" t="inlineStr">
        <is>
          <t>Scenario</t>
        </is>
      </c>
      <c r="B91" s="11" t="inlineStr">
        <is>
          <t>Revenue Y10</t>
        </is>
      </c>
      <c r="C91" s="11" t="inlineStr">
        <is>
          <t>EBITDA Margin Y10</t>
        </is>
      </c>
      <c r="D91" s="11" t="inlineStr">
        <is>
          <t>Terminal g</t>
        </is>
      </c>
      <c r="E91" s="11" t="inlineStr">
        <is>
          <t>Exit mult</t>
        </is>
      </c>
      <c r="F91" s="11" t="inlineStr">
        <is>
          <t>Implied Share (EUR)</t>
        </is>
      </c>
      <c r="G91" s="11" t="inlineStr">
        <is>
          <t>Upside vs market</t>
        </is>
      </c>
    </row>
    <row r="92">
      <c r="A92" s="7" t="inlineStr">
        <is>
          <t>BEAR</t>
        </is>
      </c>
      <c r="B92" s="5" t="n">
        <v>47411.17712693466</v>
      </c>
      <c r="C92" s="15" t="n">
        <v>0.23</v>
      </c>
      <c r="D92" s="15" t="n">
        <v>0.015</v>
      </c>
      <c r="E92" s="21" t="n">
        <v>9</v>
      </c>
      <c r="F92" s="4" t="n">
        <v>32.1901711100741</v>
      </c>
      <c r="G92" s="15" t="n">
        <v>-0.3369686692054767</v>
      </c>
    </row>
    <row r="93">
      <c r="A93" s="22" t="inlineStr">
        <is>
          <t>BASE</t>
        </is>
      </c>
      <c r="B93" s="28" t="n">
        <v>62448.65642293455</v>
      </c>
      <c r="C93" s="29" t="n">
        <v>0.285</v>
      </c>
      <c r="D93" s="29" t="n">
        <v>0.025</v>
      </c>
      <c r="E93" s="30" t="n">
        <v>12</v>
      </c>
      <c r="F93" s="31" t="n">
        <v>56.26924544908928</v>
      </c>
      <c r="G93" s="29" t="n">
        <v>0.1589957867989555</v>
      </c>
    </row>
    <row r="94">
      <c r="A94" s="7" t="inlineStr">
        <is>
          <t>BULL</t>
        </is>
      </c>
      <c r="B94" s="5" t="n">
        <v>71641.17508966835</v>
      </c>
      <c r="C94" s="15" t="n">
        <v>0.3</v>
      </c>
      <c r="D94" s="15" t="n">
        <v>0.03</v>
      </c>
      <c r="E94" s="21" t="n">
        <v>14</v>
      </c>
      <c r="F94" s="4" t="n">
        <v>70.47215214169292</v>
      </c>
      <c r="G94" s="15" t="n">
        <v>0.4515376342264248</v>
      </c>
    </row>
    <row r="99">
      <c r="A99" s="2" t="inlineStr">
        <is>
          <t>NOTES &amp; METHODOLOGY</t>
        </is>
      </c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</row>
    <row r="100">
      <c r="A100" s="32" t="inlineStr">
        <is>
          <t>Company: Inditex (ITX.MC). Currency: EUR. Fiscal year ends January 31. As of 2026-05-13.</t>
        </is>
      </c>
    </row>
    <row r="101">
      <c r="A101" s="32" t="inlineStr">
        <is>
          <t>Methodology: 10-year explicit Unlevered FCF projection, discounted at WACC 8.26%. Terminal value blended (perpetuity growth + exit multiple).</t>
        </is>
      </c>
    </row>
    <row r="102">
      <c r="A102" s="32" t="inlineStr">
        <is>
          <t>WACC: Cost of equity via CAPM (Rf 3.2% + Beta 0.92 * ERP 5.5%) = 8.26%.</t>
        </is>
      </c>
    </row>
    <row r="103">
      <c r="A103" s="32" t="inlineStr">
        <is>
          <t>Net cash position: EUR 10,932M. Equity weight 100.0%, debt weight 0.0%.</t>
        </is>
      </c>
    </row>
    <row r="104">
      <c r="A104" s="32" t="inlineStr">
        <is>
          <t>Inputs source: see data_sources block in inputs.json. Built using Anthropic financial-services skill `dcf-model` (Apache 2.0).</t>
        </is>
      </c>
    </row>
    <row r="105">
      <c r="A105" s="32" t="inlineStr">
        <is>
          <t>Limitations: Sensitivity table varies only terminal, holds sum PV FCFs at base WACC. For full sensitivity, modify inputs.json and rerun.</t>
        </is>
      </c>
    </row>
    <row r="106">
      <c r="A106" s="32" t="inlineStr">
        <is>
          <t>DISCLAIMER: Nothing herein is investment advice. Analyst work product for review by qualified professional. Verify against primary annual report.</t>
        </is>
      </c>
    </row>
  </sheetData>
  <mergeCells count="15">
    <mergeCell ref="A101:L101"/>
    <mergeCell ref="A16:L16"/>
    <mergeCell ref="A104:L104"/>
    <mergeCell ref="A90:L90"/>
    <mergeCell ref="A99:L99"/>
    <mergeCell ref="A5:L5"/>
    <mergeCell ref="A103:L103"/>
    <mergeCell ref="A58:L58"/>
    <mergeCell ref="A79:L79"/>
    <mergeCell ref="A40:L40"/>
    <mergeCell ref="A102:L102"/>
    <mergeCell ref="A27:L27"/>
    <mergeCell ref="A106:L106"/>
    <mergeCell ref="A105:L105"/>
    <mergeCell ref="A100:L100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2026-05-13T15:29:17Z</dcterms:created>
  <dcterms:modified xmlns:dcterms="http://purl.org/dc/terms/" xmlns:xsi="http://www.w3.org/2001/XMLSchema-instance" xsi:type="dcterms:W3CDTF">2026-05-13T15:29:17Z</dcterms:modified>
</cp:coreProperties>
</file>